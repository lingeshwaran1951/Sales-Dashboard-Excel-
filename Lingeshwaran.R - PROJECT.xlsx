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6.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3c87a570e0c10fbf/Documents/"/>
    </mc:Choice>
  </mc:AlternateContent>
  <xr:revisionPtr revIDLastSave="1309" documentId="11_559B85AC91E6E8BF891C872332E95B5330BD051B" xr6:coauthVersionLast="47" xr6:coauthVersionMax="47" xr10:uidLastSave="{09924C82-98EF-4924-A1AD-5615D2AC9357}"/>
  <bookViews>
    <workbookView xWindow="-108" yWindow="-108" windowWidth="23256" windowHeight="12456" firstSheet="3" activeTab="6" xr2:uid="{00000000-000D-0000-FFFF-FFFF00000000}"/>
  </bookViews>
  <sheets>
    <sheet name="data" sheetId="1" r:id="rId1"/>
    <sheet name="1. Total Sales (Revenue Overvie" sheetId="2" r:id="rId2"/>
    <sheet name="2. Location-Based Analysis" sheetId="3" r:id="rId3"/>
    <sheet name="3. Product Performance" sheetId="4" r:id="rId4"/>
    <sheet name="4. Time-Based Trends" sheetId="11" r:id="rId5"/>
    <sheet name="5. Customer Insights (Optional," sheetId="12" r:id="rId6"/>
    <sheet name="dashboard" sheetId="13" r:id="rId7"/>
  </sheets>
  <definedNames>
    <definedName name="_xlnm._FilterDatabase" localSheetId="0" hidden="1">data!$A$1:$G$11</definedName>
    <definedName name="Slicer_customer_name">#N/A</definedName>
    <definedName name="Slicer_Date">#N/A</definedName>
    <definedName name="Slicer_Date1">#N/A</definedName>
    <definedName name="Slicer_Product_Type">#N/A</definedName>
    <definedName name="Slicer_Product_Type1">#N/A</definedName>
    <definedName name="Slicer_Product_Type2">#N/A</definedName>
    <definedName name="Slicer_Store_Location">#N/A</definedName>
    <definedName name="Slicer_Store_Location1">#N/A</definedName>
    <definedName name="Slicer_Store_Location2">#N/A</definedName>
    <definedName name="Slicer_Total_Revenue">#N/A</definedName>
    <definedName name="Slicer_Total_Revenue1">#N/A</definedName>
    <definedName name="Slicer_Total_Revenue2">#N/A</definedName>
    <definedName name="Slicer_Total_Revenue3">#N/A</definedName>
    <definedName name="Slicer_Total_Revenue4">#N/A</definedName>
    <definedName name="Slicer_Total_Revenue5">#N/A</definedName>
    <definedName name="Slicer_Total_Revenue6">#N/A</definedName>
    <definedName name="Slicer_Units_Sold">#N/A</definedName>
    <definedName name="Slicer_Units_Sold1">#N/A</definedName>
    <definedName name="Slicer_Weekday_Weekend">#N/A</definedName>
    <definedName name="Slicer_Weekdays">#N/A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12" l="1"/>
  <c r="D35" i="12"/>
  <c r="E34" i="12"/>
  <c r="D34" i="12"/>
  <c r="E33" i="12"/>
  <c r="D33" i="12"/>
  <c r="E32" i="12"/>
  <c r="D32" i="12"/>
  <c r="E31" i="12"/>
  <c r="D31" i="12"/>
  <c r="E30" i="12"/>
  <c r="D30" i="12"/>
  <c r="E29" i="12"/>
  <c r="D29" i="12"/>
  <c r="E28" i="12"/>
  <c r="D28" i="12"/>
  <c r="E27" i="12"/>
  <c r="D27" i="12"/>
  <c r="E26" i="12"/>
  <c r="D26" i="12"/>
  <c r="F26" i="12" s="1" a="1"/>
  <c r="F26" i="12" s="1"/>
  <c r="D19" i="12"/>
  <c r="D18" i="12"/>
  <c r="D17" i="12"/>
  <c r="D16" i="12"/>
  <c r="D15" i="12"/>
  <c r="D14" i="12"/>
  <c r="D13" i="12"/>
  <c r="D12" i="12"/>
  <c r="D11" i="12"/>
  <c r="D10" i="12"/>
  <c r="D9" i="12"/>
  <c r="Q21" i="3"/>
  <c r="Q20" i="3"/>
  <c r="Q19" i="3"/>
  <c r="Q11" i="3"/>
  <c r="Q10" i="3"/>
  <c r="Q9" i="3"/>
  <c r="Q12" i="3" l="1"/>
  <c r="Q22" i="3"/>
  <c r="G12" i="1" l="1"/>
  <c r="G2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<sst xmlns="http://schemas.openxmlformats.org/spreadsheetml/2006/main" count="300" uniqueCount="98">
  <si>
    <t>Date</t>
  </si>
  <si>
    <t>Store Location</t>
  </si>
  <si>
    <t>Product Type</t>
  </si>
  <si>
    <t>Units Sold</t>
  </si>
  <si>
    <t>Unit Price</t>
  </si>
  <si>
    <t>Total Revenue</t>
  </si>
  <si>
    <t>Profit</t>
  </si>
  <si>
    <t>2025-01-01</t>
  </si>
  <si>
    <t>2025-01-02</t>
  </si>
  <si>
    <t>2025-01-03</t>
  </si>
  <si>
    <t>2025-01-04</t>
  </si>
  <si>
    <t>2025-01-05</t>
  </si>
  <si>
    <t>New York</t>
  </si>
  <si>
    <t>Chicago</t>
  </si>
  <si>
    <t>Los Angeles</t>
  </si>
  <si>
    <t>Espresso</t>
  </si>
  <si>
    <t>Latte</t>
  </si>
  <si>
    <t>Cappuccino</t>
  </si>
  <si>
    <t>Americano</t>
  </si>
  <si>
    <t>Row Labels</t>
  </si>
  <si>
    <t>Grand Total</t>
  </si>
  <si>
    <t>Sum of Total Revenue</t>
  </si>
  <si>
    <t>1. Total Sales (Revenue Overview)</t>
  </si>
  <si>
    <t>Total</t>
  </si>
  <si>
    <t>2. Location-Based Analysis</t>
  </si>
  <si>
    <t>Sum of Profit</t>
  </si>
  <si>
    <t>Sum of Units Sold</t>
  </si>
  <si>
    <t>Highest revenue</t>
  </si>
  <si>
    <t>lowest revenue</t>
  </si>
  <si>
    <t>New york - 1522.5</t>
  </si>
  <si>
    <t>Chicago - 1115</t>
  </si>
  <si>
    <t>1.store locations generates highets and lowest revenue</t>
  </si>
  <si>
    <t>Bar Chart ; Revenue by Locaton</t>
  </si>
  <si>
    <t>Pie chart ; revenue share by location</t>
  </si>
  <si>
    <t>2.revenue contribution % of each location</t>
  </si>
  <si>
    <t>3.Consistenly underperforming by location</t>
  </si>
  <si>
    <t>AOV</t>
  </si>
  <si>
    <t>4. Average order value differ by location</t>
  </si>
  <si>
    <t>Table showing detailed location-wise performance</t>
  </si>
  <si>
    <t>3. Product Performance</t>
  </si>
  <si>
    <t>1.Best Selling Product</t>
  </si>
  <si>
    <t>Column chart: Product-wise sales</t>
  </si>
  <si>
    <t>2.profit margin for each product type</t>
  </si>
  <si>
    <t>Bar chart: Profit margin by product</t>
  </si>
  <si>
    <t>(blank)</t>
  </si>
  <si>
    <t>Sum of profit/revenue</t>
  </si>
  <si>
    <t>3. products have the highest profit despite low volume</t>
  </si>
  <si>
    <t>4.product types frequently sold together</t>
  </si>
  <si>
    <t>Count of Product Type</t>
  </si>
  <si>
    <t>Table for detailed product analysis</t>
  </si>
  <si>
    <t>Average of profit/revenue</t>
  </si>
  <si>
    <t>4. Time-Based Trends</t>
  </si>
  <si>
    <t>1.Busiest sales days of the week (by Units or Revenue)</t>
  </si>
  <si>
    <t>Sunday</t>
  </si>
  <si>
    <t>Wednesday</t>
  </si>
  <si>
    <t>Friday</t>
  </si>
  <si>
    <t>Thursday</t>
  </si>
  <si>
    <t>Saturday</t>
  </si>
  <si>
    <t>2.Are weekends more profitable than weekdays?</t>
  </si>
  <si>
    <t>Weekday</t>
  </si>
  <si>
    <t>Weekend</t>
  </si>
  <si>
    <t>Jan-2025</t>
  </si>
  <si>
    <t>4.Are there specific times of year when sales peak?</t>
  </si>
  <si>
    <t>3.What is the month-over-month revenue growth?</t>
  </si>
  <si>
    <t>Heatmap: Sales by day of the week</t>
  </si>
  <si>
    <t>Area or line chart: Monthly/weekly trends</t>
  </si>
  <si>
    <t>5. Customer Insights (Optional, if customer data is available)</t>
  </si>
  <si>
    <t>1.Average number of items per order</t>
  </si>
  <si>
    <t>Average num of per itrem</t>
  </si>
  <si>
    <t>2.Top Customers By Revenue</t>
  </si>
  <si>
    <t>dan</t>
  </si>
  <si>
    <t>devi</t>
  </si>
  <si>
    <t>devid</t>
  </si>
  <si>
    <t>james</t>
  </si>
  <si>
    <t>john</t>
  </si>
  <si>
    <t>josuva</t>
  </si>
  <si>
    <t xml:space="preserve">priya </t>
  </si>
  <si>
    <t>santhosh</t>
  </si>
  <si>
    <t>thomas</t>
  </si>
  <si>
    <t>wick</t>
  </si>
  <si>
    <t>3.Repeat purchase rate</t>
  </si>
  <si>
    <t>Formula repeat  rate= Number_of_Repeat_Customers / Total_Customers</t>
  </si>
  <si>
    <t xml:space="preserve">  4.Discounts affecting profitability</t>
  </si>
  <si>
    <t>Sum of order id</t>
  </si>
  <si>
    <t>name_of_repeat_customer</t>
  </si>
  <si>
    <t>Total_Customer</t>
  </si>
  <si>
    <t>Average of Average Profit Margin</t>
  </si>
  <si>
    <t>10-60%</t>
  </si>
  <si>
    <t>1-10%</t>
  </si>
  <si>
    <t>20-50%</t>
  </si>
  <si>
    <t>20-60%</t>
  </si>
  <si>
    <t>20-80%</t>
  </si>
  <si>
    <t>30-50%</t>
  </si>
  <si>
    <t>40-70%</t>
  </si>
  <si>
    <t>40-80%</t>
  </si>
  <si>
    <t>50-70%</t>
  </si>
  <si>
    <t>60-90%</t>
  </si>
  <si>
    <t>Top Customers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</si>
</sst>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26"/>
      <color theme="1"/>
      <name val="Times New Roman"/>
      <family val="1"/>
    </font>
    <font>
      <sz val="14"/>
      <color theme="1"/>
      <name val="Times New Roman"/>
      <family val="1"/>
    </font>
    <font>
      <sz val="11"/>
      <color theme="1"/>
      <name val="Times New Roman"/>
      <family val="1"/>
    </font>
    <font>
      <b/>
      <sz val="26"/>
      <color theme="1"/>
      <name val="Times New Roman"/>
      <family val="1"/>
    </font>
    <font>
      <b/>
      <sz val="14"/>
      <color theme="1"/>
      <name val="Times New Roman"/>
      <family val="1"/>
    </font>
    <font>
      <b/>
      <sz val="11"/>
      <color theme="1"/>
      <name val="Times New Roman"/>
      <family val="1"/>
    </font>
    <font>
      <sz val="28"/>
      <color theme="1"/>
      <name val="Times New Roman"/>
      <family val="1"/>
    </font>
    <font>
      <b/>
      <sz val="12"/>
      <color theme="1"/>
      <name val="Calibri"/>
      <family val="2"/>
      <scheme val="minor"/>
    </font>
    <font>
      <b/>
      <sz val="12"/>
      <color theme="1"/>
      <name val="Times New Roman"/>
      <family val="1"/>
    </font>
    <font>
      <b/>
      <sz val="11"/>
      <color rgb="FF000000"/>
      <name val="Times New Roman"/>
      <family val="1"/>
    </font>
    <font>
      <b/>
      <sz val="16"/>
      <color theme="1"/>
      <name val="Calibri"/>
      <family val="2"/>
      <scheme val="minor"/>
    </font>
  </fonts>
  <fills count="15">
    <fill>
      <patternFill patternType="none"/>
    </fill>
    <fill>
      <patternFill patternType="gray125"/>
    </fill>
    <fill>
      <patternFill patternType="solid">
        <fgColor theme="4" tint="0.59999389629810485"/>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8" tint="0.59999389629810485"/>
        <bgColor indexed="64"/>
      </patternFill>
    </fill>
  </fills>
  <borders count="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51">
    <xf numFmtId="0" fontId="0" fillId="0" borderId="0" xfId="0"/>
    <xf numFmtId="0" fontId="1" fillId="0" borderId="1" xfId="0" applyFont="1" applyBorder="1" applyAlignment="1">
      <alignment horizontal="center" vertical="top"/>
    </xf>
    <xf numFmtId="0" fontId="3" fillId="4" borderId="0" xfId="0" applyFont="1" applyFill="1"/>
    <xf numFmtId="0" fontId="0" fillId="0" borderId="0" xfId="0" applyAlignment="1">
      <alignment horizontal="center"/>
    </xf>
    <xf numFmtId="0" fontId="6" fillId="3" borderId="0" xfId="0" applyFont="1" applyFill="1"/>
    <xf numFmtId="0" fontId="4" fillId="0" borderId="0" xfId="0" applyFont="1"/>
    <xf numFmtId="0" fontId="4" fillId="0" borderId="0" xfId="0" pivotButton="1" applyFont="1"/>
    <xf numFmtId="0" fontId="4" fillId="0" borderId="0" xfId="0" applyFont="1" applyAlignment="1">
      <alignment horizontal="left"/>
    </xf>
    <xf numFmtId="10" fontId="4" fillId="0" borderId="0" xfId="0" applyNumberFormat="1" applyFont="1"/>
    <xf numFmtId="0" fontId="4" fillId="0" borderId="0" xfId="0" applyFont="1" applyAlignment="1">
      <alignment horizontal="left" indent="1"/>
    </xf>
    <xf numFmtId="0" fontId="4" fillId="5" borderId="0" xfId="0" applyFont="1" applyFill="1" applyAlignment="1">
      <alignment horizontal="left"/>
    </xf>
    <xf numFmtId="0" fontId="4" fillId="0" borderId="2" xfId="0" pivotButton="1" applyFont="1" applyBorder="1"/>
    <xf numFmtId="0" fontId="4" fillId="0" borderId="2" xfId="0" applyFont="1" applyBorder="1"/>
    <xf numFmtId="0" fontId="4" fillId="0" borderId="2" xfId="0" applyFont="1" applyBorder="1" applyAlignment="1">
      <alignment horizontal="left"/>
    </xf>
    <xf numFmtId="0" fontId="4" fillId="0" borderId="2" xfId="0" applyFont="1" applyBorder="1" applyAlignment="1">
      <alignment horizontal="left" indent="1"/>
    </xf>
    <xf numFmtId="10" fontId="4" fillId="0" borderId="2" xfId="0" applyNumberFormat="1" applyFont="1" applyBorder="1"/>
    <xf numFmtId="0" fontId="7" fillId="9" borderId="2" xfId="0" applyFont="1" applyFill="1" applyBorder="1"/>
    <xf numFmtId="0" fontId="4" fillId="9" borderId="2" xfId="0" applyFont="1" applyFill="1" applyBorder="1"/>
    <xf numFmtId="0" fontId="4" fillId="10" borderId="0" xfId="0" applyFont="1" applyFill="1"/>
    <xf numFmtId="0" fontId="0" fillId="8" borderId="0" xfId="0" applyFill="1"/>
    <xf numFmtId="0" fontId="9" fillId="8" borderId="2" xfId="0" applyFont="1" applyFill="1" applyBorder="1"/>
    <xf numFmtId="0" fontId="0" fillId="0" borderId="2" xfId="0" applyBorder="1" applyAlignment="1">
      <alignment horizontal="center"/>
    </xf>
    <xf numFmtId="0" fontId="0" fillId="8" borderId="0" xfId="0" pivotButton="1" applyFill="1"/>
    <xf numFmtId="0" fontId="0" fillId="8" borderId="2" xfId="0" applyFill="1" applyBorder="1"/>
    <xf numFmtId="0" fontId="0" fillId="8" borderId="3" xfId="0" applyFill="1" applyBorder="1" applyAlignment="1">
      <alignment horizontal="center"/>
    </xf>
    <xf numFmtId="0" fontId="0" fillId="0" borderId="2" xfId="0" applyBorder="1"/>
    <xf numFmtId="0" fontId="0" fillId="8" borderId="2" xfId="0" pivotButton="1" applyFill="1" applyBorder="1"/>
    <xf numFmtId="0" fontId="0" fillId="0" borderId="2" xfId="0" applyBorder="1" applyAlignment="1">
      <alignment horizontal="left"/>
    </xf>
    <xf numFmtId="0" fontId="0" fillId="0" borderId="2" xfId="0" pivotButton="1" applyBorder="1"/>
    <xf numFmtId="10" fontId="0" fillId="0" borderId="2" xfId="0" applyNumberFormat="1" applyBorder="1"/>
    <xf numFmtId="0" fontId="0" fillId="0" borderId="2" xfId="0" applyBorder="1" applyAlignment="1">
      <alignment horizontal="left" indent="1"/>
    </xf>
    <xf numFmtId="0" fontId="0" fillId="0" borderId="2" xfId="0" applyBorder="1" applyAlignment="1">
      <alignment horizontal="left" indent="2"/>
    </xf>
    <xf numFmtId="0" fontId="5" fillId="2" borderId="0" xfId="0" applyFont="1" applyFill="1" applyAlignment="1">
      <alignment horizontal="left" vertical="center"/>
    </xf>
    <xf numFmtId="0" fontId="7" fillId="6" borderId="0" xfId="0" applyFont="1" applyFill="1" applyAlignment="1">
      <alignment horizontal="center"/>
    </xf>
    <xf numFmtId="0" fontId="7" fillId="8" borderId="0" xfId="0" applyFont="1" applyFill="1" applyAlignment="1">
      <alignment horizontal="center"/>
    </xf>
    <xf numFmtId="0" fontId="5" fillId="12" borderId="0" xfId="0" applyFont="1" applyFill="1" applyAlignment="1">
      <alignment horizontal="left" vertical="center"/>
    </xf>
    <xf numFmtId="0" fontId="7" fillId="12" borderId="0" xfId="0" applyFont="1" applyFill="1" applyAlignment="1">
      <alignment horizontal="left" vertical="center"/>
    </xf>
    <xf numFmtId="0" fontId="8" fillId="10" borderId="0" xfId="0" applyFont="1" applyFill="1" applyAlignment="1">
      <alignment horizontal="left" vertical="center"/>
    </xf>
    <xf numFmtId="0" fontId="4" fillId="10" borderId="0" xfId="0" applyFont="1" applyFill="1" applyAlignment="1">
      <alignment horizontal="left" vertical="center"/>
    </xf>
    <xf numFmtId="0" fontId="4" fillId="11" borderId="0" xfId="0" applyFont="1" applyFill="1" applyAlignment="1">
      <alignment horizontal="left" vertical="center"/>
    </xf>
    <xf numFmtId="0" fontId="4" fillId="13" borderId="0" xfId="0" applyFont="1" applyFill="1" applyAlignment="1">
      <alignment horizontal="center"/>
    </xf>
    <xf numFmtId="0" fontId="4" fillId="11" borderId="0" xfId="0" applyFont="1" applyFill="1" applyAlignment="1">
      <alignment horizontal="center"/>
    </xf>
    <xf numFmtId="0" fontId="11" fillId="12" borderId="0" xfId="0" applyFont="1" applyFill="1" applyAlignment="1">
      <alignment horizontal="center"/>
    </xf>
    <xf numFmtId="0" fontId="11" fillId="13" borderId="0" xfId="0" applyFont="1" applyFill="1" applyAlignment="1">
      <alignment horizontal="center"/>
    </xf>
    <xf numFmtId="0" fontId="2" fillId="13" borderId="0" xfId="0" applyFont="1" applyFill="1" applyAlignment="1">
      <alignment horizontal="left" vertical="center"/>
    </xf>
    <xf numFmtId="0" fontId="4" fillId="13" borderId="0" xfId="0" applyFont="1" applyFill="1" applyAlignment="1">
      <alignment horizontal="left" vertical="center"/>
    </xf>
    <xf numFmtId="0" fontId="10" fillId="12" borderId="0" xfId="0" applyFont="1" applyFill="1" applyAlignment="1">
      <alignment horizontal="center"/>
    </xf>
    <xf numFmtId="0" fontId="8" fillId="7" borderId="0" xfId="0" applyFont="1" applyFill="1" applyAlignment="1">
      <alignment horizontal="left" vertical="center"/>
    </xf>
    <xf numFmtId="0" fontId="0" fillId="7" borderId="0" xfId="0" applyFill="1" applyAlignment="1">
      <alignment horizontal="left" vertical="center"/>
    </xf>
    <xf numFmtId="0" fontId="12" fillId="14" borderId="0" xfId="0" applyFont="1" applyFill="1" applyAlignment="1">
      <alignment horizontal="center" vertical="center"/>
    </xf>
    <xf numFmtId="0" fontId="0" fillId="8" borderId="0" xfId="0" applyFill="1" applyAlignment="1">
      <alignment horizontal="center"/>
    </xf>
  </cellXfs>
  <cellStyles count="1">
    <cellStyle name="Normal" xfId="0" builtinId="0"/>
  </cellStyles>
  <dxfs count="264">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color rgb="FF9C0006"/>
      </font>
      <fill>
        <patternFill>
          <bgColor rgb="FFFFC7CE"/>
        </patternFill>
      </fill>
    </dxf>
    <dxf>
      <font>
        <color rgb="FF9C0006"/>
      </font>
      <fill>
        <patternFill>
          <bgColor rgb="FFFFC7CE"/>
        </patternFill>
      </fill>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4" formatCode="0.00%"/>
    </dxf>
    <dxf>
      <numFmt numFmtId="14" formatCode="0.00%"/>
    </dxf>
    <dxf>
      <numFmt numFmtId="14"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4"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3.xml"/><Relationship Id="rId26" Type="http://schemas.microsoft.com/office/2007/relationships/slicerCache" Target="slicerCaches/slicerCache11.xml"/><Relationship Id="rId39" Type="http://schemas.openxmlformats.org/officeDocument/2006/relationships/sheetMetadata" Target="metadata.xml"/><Relationship Id="rId21" Type="http://schemas.microsoft.com/office/2007/relationships/slicerCache" Target="slicerCaches/slicerCache6.xml"/><Relationship Id="rId34" Type="http://schemas.microsoft.com/office/2007/relationships/slicerCache" Target="slicerCaches/slicerCache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microsoft.com/office/2007/relationships/slicerCache" Target="slicerCaches/slicerCache14.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9.xml"/><Relationship Id="rId32" Type="http://schemas.microsoft.com/office/2007/relationships/slicerCache" Target="slicerCaches/slicerCache17.xml"/><Relationship Id="rId37" Type="http://schemas.openxmlformats.org/officeDocument/2006/relationships/styles" Target="styles.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8.xml"/><Relationship Id="rId28" Type="http://schemas.microsoft.com/office/2007/relationships/slicerCache" Target="slicerCaches/slicerCache13.xml"/><Relationship Id="rId36" Type="http://schemas.openxmlformats.org/officeDocument/2006/relationships/theme" Target="theme/theme1.xml"/><Relationship Id="rId10" Type="http://schemas.openxmlformats.org/officeDocument/2006/relationships/pivotCacheDefinition" Target="pivotCache/pivotCacheDefinition3.xml"/><Relationship Id="rId19" Type="http://schemas.microsoft.com/office/2007/relationships/slicerCache" Target="slicerCaches/slicerCache4.xml"/><Relationship Id="rId31" Type="http://schemas.microsoft.com/office/2007/relationships/slicerCache" Target="slicerCaches/slicerCache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7.xml"/><Relationship Id="rId27" Type="http://schemas.microsoft.com/office/2007/relationships/slicerCache" Target="slicerCaches/slicerCache12.xml"/><Relationship Id="rId30" Type="http://schemas.microsoft.com/office/2007/relationships/slicerCache" Target="slicerCaches/slicerCache15.xml"/><Relationship Id="rId35" Type="http://schemas.microsoft.com/office/2007/relationships/slicerCache" Target="slicerCaches/slicerCache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2.xml"/><Relationship Id="rId25" Type="http://schemas.microsoft.com/office/2007/relationships/slicerCache" Target="slicerCaches/slicerCache10.xml"/><Relationship Id="rId33" Type="http://schemas.microsoft.com/office/2007/relationships/slicerCache" Target="slicerCaches/slicerCache18.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[Lingeshwaran.R - PROJECT.xlsx]1. Total Sales (Revenue Overvie!PivotTable1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 Total Sales (Revenue Overvie'!$C$7</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'1. Total Sales (Revenue Overvie'!$B$8:$B$32</c:f>
              <c:multiLvlStrCache>
                <c:ptCount val="10"/>
                <c:lvl>
                  <c:pt idx="0">
                    <c:v>2025-01-04</c:v>
                  </c:pt>
                  <c:pt idx="1">
                    <c:v>2025-01-02</c:v>
                  </c:pt>
                  <c:pt idx="2">
                    <c:v>2025-01-02</c:v>
                  </c:pt>
                  <c:pt idx="3">
                    <c:v>2025-01-04</c:v>
                  </c:pt>
                  <c:pt idx="4">
                    <c:v>2025-01-03</c:v>
                  </c:pt>
                  <c:pt idx="5">
                    <c:v>2025-01-05</c:v>
                  </c:pt>
                  <c:pt idx="6">
                    <c:v>2025-01-01</c:v>
                  </c:pt>
                  <c:pt idx="7">
                    <c:v>2025-01-01</c:v>
                  </c:pt>
                  <c:pt idx="8">
                    <c:v>2025-01-03</c:v>
                  </c:pt>
                  <c:pt idx="9">
                    <c:v>2025-01-05</c:v>
                  </c:pt>
                </c:lvl>
                <c:lvl>
                  <c:pt idx="0">
                    <c:v>Chicago</c:v>
                  </c:pt>
                  <c:pt idx="1">
                    <c:v>New York</c:v>
                  </c:pt>
                  <c:pt idx="2">
                    <c:v>Los Angeles</c:v>
                  </c:pt>
                  <c:pt idx="3">
                    <c:v>New York</c:v>
                  </c:pt>
                  <c:pt idx="4">
                    <c:v>Chicago</c:v>
                  </c:pt>
                  <c:pt idx="5">
                    <c:v>Los Angeles</c:v>
                  </c:pt>
                  <c:pt idx="6">
                    <c:v>New York</c:v>
                  </c:pt>
                  <c:pt idx="7">
                    <c:v>Chicago</c:v>
                  </c:pt>
                  <c:pt idx="8">
                    <c:v>Los Angeles</c:v>
                  </c:pt>
                  <c:pt idx="9">
                    <c:v>New York</c:v>
                  </c:pt>
                </c:lvl>
                <c:lvl>
                  <c:pt idx="0">
                    <c:v>Americano</c:v>
                  </c:pt>
                  <c:pt idx="2">
                    <c:v>Cappuccino</c:v>
                  </c:pt>
                  <c:pt idx="4">
                    <c:v>Espresso</c:v>
                  </c:pt>
                  <c:pt idx="7">
                    <c:v>Latte</c:v>
                  </c:pt>
                </c:lvl>
              </c:multiLvlStrCache>
            </c:multiLvlStrRef>
          </c:cat>
          <c:val>
            <c:numRef>
              <c:f>'1. Total Sales (Revenue Overvie'!$C$8:$C$32</c:f>
              <c:numCache>
                <c:formatCode>General</c:formatCode>
                <c:ptCount val="10"/>
                <c:pt idx="0">
                  <c:v>360</c:v>
                </c:pt>
                <c:pt idx="1">
                  <c:v>330</c:v>
                </c:pt>
                <c:pt idx="2">
                  <c:v>340</c:v>
                </c:pt>
                <c:pt idx="3">
                  <c:v>300</c:v>
                </c:pt>
                <c:pt idx="4">
                  <c:v>350</c:v>
                </c:pt>
                <c:pt idx="5">
                  <c:v>385</c:v>
                </c:pt>
                <c:pt idx="6">
                  <c:v>420</c:v>
                </c:pt>
                <c:pt idx="7">
                  <c:v>405</c:v>
                </c:pt>
                <c:pt idx="8">
                  <c:v>427.5</c:v>
                </c:pt>
                <c:pt idx="9">
                  <c:v>472.5</c:v>
                </c:pt>
              </c:numCache>
            </c:numRef>
          </c:val>
          <c:smooth val="0"/>
          <c:extLst>
            <c:ext xmlns:c16="http://schemas.microsoft.com/office/drawing/2014/chart" uri="{C3380CC4-5D6E-409C-BE32-E72D297353CC}">
              <c16:uniqueId val="{00000000-5E0F-4AEB-96DD-5D158122033F}"/>
            </c:ext>
          </c:extLst>
        </c:ser>
        <c:dLbls>
          <c:showLegendKey val="0"/>
          <c:showVal val="0"/>
          <c:showCatName val="0"/>
          <c:showSerName val="0"/>
          <c:showPercent val="0"/>
          <c:showBubbleSize val="0"/>
        </c:dLbls>
        <c:marker val="1"/>
        <c:smooth val="0"/>
        <c:axId val="2112787968"/>
        <c:axId val="2112789408"/>
      </c:lineChart>
      <c:catAx>
        <c:axId val="21127879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89408"/>
        <c:crosses val="autoZero"/>
        <c:auto val="1"/>
        <c:lblAlgn val="ctr"/>
        <c:lblOffset val="100"/>
        <c:noMultiLvlLbl val="0"/>
      </c:catAx>
      <c:valAx>
        <c:axId val="211278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8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[Lingeshwaran.R - PROJECT.xlsx]2. Location-Based Analysis!PivotTable3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'2. Location-Based Analysis'!$C$8</c:f>
              <c:strCache>
                <c:ptCount val="1"/>
                <c:pt idx="0">
                  <c:v>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'2. Location-Based Analysis'!$B$9:$B$12</c:f>
              <c:strCache>
                <c:ptCount val="3"/>
                <c:pt idx="0">
                  <c:v>New York</c:v>
                </c:pt>
                <c:pt idx="1">
                  <c:v>Los Angeles</c:v>
                </c:pt>
                <c:pt idx="2">
                  <c:v>Chicago</c:v>
                </c:pt>
              </c:strCache>
            </c:strRef>
          </c:cat>
          <c:val>
            <c:numRef>
              <c:f>'2. Location-Based Analysis'!$C$9:$C$12</c:f>
              <c:numCache>
                <c:formatCode>General</c:formatCode>
                <c:ptCount val="3"/>
                <c:pt idx="0">
                  <c:v>1522.5</c:v>
                </c:pt>
                <c:pt idx="1">
                  <c:v>1152.5</c:v>
                </c:pt>
                <c:pt idx="2">
                  <c:v>1115</c:v>
                </c:pt>
              </c:numCache>
            </c:numRef>
          </c:val>
          <c:extLst>
            <c:ext xmlns:c16="http://schemas.microsoft.com/office/drawing/2014/chart" uri="{C3380CC4-5D6E-409C-BE32-E72D297353CC}">
              <c16:uniqueId val="{00000000-4EB9-4226-863F-A1849B9FDEC6}"/>
            </c:ext>
          </c:extLst>
        </c:ser>
        <c:dLbls>
          <c:showLegendKey val="0"/>
          <c:showVal val="1"/>
          <c:showCatName val="0"/>
          <c:showSerName val="0"/>
          <c:showPercent val="0"/>
          <c:showBubbleSize val="0"/>
        </c:dLbls>
        <c:gapWidth val="79"/>
        <c:shape val="box"/>
        <c:axId val="197383151"/>
        <c:axId val="197383631"/>
        <c:axId val="0"/>
      </c:bar3DChart>
      <c:catAx>
        <c:axId val="19738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7383631"/>
        <c:crosses val="autoZero"/>
        <c:auto val="1"/>
        <c:lblAlgn val="ctr"/>
        <c:lblOffset val="100"/>
        <c:noMultiLvlLbl val="0"/>
      </c:catAx>
      <c:valAx>
        <c:axId val="197383631"/>
        <c:scaling>
          <c:orientation val="minMax"/>
        </c:scaling>
        <c:delete val="1"/>
        <c:axPos val="b"/>
        <c:numFmt formatCode="General" sourceLinked="1"/>
        <c:majorTickMark val="none"/>
        <c:minorTickMark val="none"/>
        <c:tickLblPos val="nextTo"/>
        <c:crossAx val="19738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[Lingeshwaran.R - PROJECT.xlsx]2. Location-Based Analysis!PivotTable5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'2. Location-Based Analysis'!$G$8</c:f>
              <c:strCache>
                <c:ptCount val="1"/>
                <c:pt idx="0">
                  <c:v>Sum of Units Sold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22C-44C0-AD9B-6AC11E5DEFE4}"/>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22C-44C0-AD9B-6AC11E5DEFE4}"/>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22C-44C0-AD9B-6AC11E5DEFE4}"/>
              </c:ext>
            </c:extLst>
          </c:dPt>
          <c:cat>
            <c:strRef>
              <c:f>'2. Location-Based Analysis'!$F$9:$F$12</c:f>
              <c:strCache>
                <c:ptCount val="3"/>
                <c:pt idx="0">
                  <c:v>Chicago</c:v>
                </c:pt>
                <c:pt idx="1">
                  <c:v>Los Angeles</c:v>
                </c:pt>
                <c:pt idx="2">
                  <c:v>New York</c:v>
                </c:pt>
              </c:strCache>
            </c:strRef>
          </c:cat>
          <c:val>
            <c:numRef>
              <c:f>'2. Location-Based Analysis'!$G$9:$G$12</c:f>
              <c:numCache>
                <c:formatCode>General</c:formatCode>
                <c:ptCount val="3"/>
                <c:pt idx="0">
                  <c:v>310</c:v>
                </c:pt>
                <c:pt idx="1">
                  <c:v>290</c:v>
                </c:pt>
                <c:pt idx="2">
                  <c:v>410</c:v>
                </c:pt>
              </c:numCache>
            </c:numRef>
          </c:val>
          <c:extLst>
            <c:ext xmlns:c16="http://schemas.microsoft.com/office/drawing/2014/chart" uri="{C3380CC4-5D6E-409C-BE32-E72D297353CC}">
              <c16:uniqueId val="{00000000-E31E-4EE0-8ED0-6AC56102DF70}"/>
            </c:ext>
          </c:extLst>
        </c:ser>
        <c:ser>
          <c:idx val="1"/>
          <c:order val="1"/>
          <c:tx>
            <c:strRef>
              <c:f>'2. Location-Based Analysis'!$H$8</c:f>
              <c:strCache>
                <c:ptCount val="1"/>
                <c:pt idx="0">
                  <c:v>Sum of Total Revenue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22C-44C0-AD9B-6AC11E5DEFE4}"/>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22C-44C0-AD9B-6AC11E5DEFE4}"/>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D22C-44C0-AD9B-6AC11E5DEFE4}"/>
              </c:ext>
            </c:extLst>
          </c:dPt>
          <c:cat>
            <c:strRef>
              <c:f>'2. Location-Based Analysis'!$F$9:$F$12</c:f>
              <c:strCache>
                <c:ptCount val="3"/>
                <c:pt idx="0">
                  <c:v>Chicago</c:v>
                </c:pt>
                <c:pt idx="1">
                  <c:v>Los Angeles</c:v>
                </c:pt>
                <c:pt idx="2">
                  <c:v>New York</c:v>
                </c:pt>
              </c:strCache>
            </c:strRef>
          </c:cat>
          <c:val>
            <c:numRef>
              <c:f>'2. Location-Based Analysis'!$H$9:$H$12</c:f>
              <c:numCache>
                <c:formatCode>0.00%</c:formatCode>
                <c:ptCount val="3"/>
                <c:pt idx="0">
                  <c:v>0.29419525065963059</c:v>
                </c:pt>
                <c:pt idx="1">
                  <c:v>0.30408970976253297</c:v>
                </c:pt>
                <c:pt idx="2">
                  <c:v>0.40171503957783639</c:v>
                </c:pt>
              </c:numCache>
            </c:numRef>
          </c:val>
          <c:extLst>
            <c:ext xmlns:c16="http://schemas.microsoft.com/office/drawing/2014/chart" uri="{C3380CC4-5D6E-409C-BE32-E72D297353CC}">
              <c16:uniqueId val="{00000001-E31E-4EE0-8ED0-6AC56102DF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[Lingeshwaran.R - PROJECT.xlsx]3. Product Performance!PivotTable9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Product Performance'!$C$8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'3. Product Performance'!$B$9:$B$13</c:f>
              <c:strCache>
                <c:ptCount val="4"/>
                <c:pt idx="0">
                  <c:v>Espresso</c:v>
                </c:pt>
                <c:pt idx="1">
                  <c:v>Latte</c:v>
                </c:pt>
                <c:pt idx="2">
                  <c:v>Americano</c:v>
                </c:pt>
                <c:pt idx="3">
                  <c:v>Cappuccino</c:v>
                </c:pt>
              </c:strCache>
            </c:strRef>
          </c:cat>
          <c:val>
            <c:numRef>
              <c:f>'3. Product Performance'!$C$9:$C$13</c:f>
              <c:numCache>
                <c:formatCode>General</c:formatCode>
                <c:ptCount val="4"/>
                <c:pt idx="0">
                  <c:v>330</c:v>
                </c:pt>
                <c:pt idx="1">
                  <c:v>290</c:v>
                </c:pt>
                <c:pt idx="2">
                  <c:v>230</c:v>
                </c:pt>
                <c:pt idx="3">
                  <c:v>160</c:v>
                </c:pt>
              </c:numCache>
            </c:numRef>
          </c:val>
          <c:extLst>
            <c:ext xmlns:c16="http://schemas.microsoft.com/office/drawing/2014/chart" uri="{C3380CC4-5D6E-409C-BE32-E72D297353CC}">
              <c16:uniqueId val="{00000000-338E-470E-BBAB-A0620B33B5F6}"/>
            </c:ext>
          </c:extLst>
        </c:ser>
        <c:dLbls>
          <c:showLegendKey val="0"/>
          <c:showVal val="0"/>
          <c:showCatName val="0"/>
          <c:showSerName val="0"/>
          <c:showPercent val="0"/>
          <c:showBubbleSize val="0"/>
        </c:dLbls>
        <c:gapWidth val="100"/>
        <c:overlap val="-24"/>
        <c:axId val="1343796527"/>
        <c:axId val="806595039"/>
      </c:barChart>
      <c:catAx>
        <c:axId val="1343796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95039"/>
        <c:crosses val="autoZero"/>
        <c:auto val="1"/>
        <c:lblAlgn val="ctr"/>
        <c:lblOffset val="100"/>
        <c:noMultiLvlLbl val="0"/>
      </c:catAx>
      <c:valAx>
        <c:axId val="80659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79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[Lingeshwaran.R - PROJECT.xlsx]3. Product Performance!PivotTable24</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'3. Product Performance'!$I$8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'3. Product Performance'!$H$9:$H$13</c:f>
              <c:strCache>
                <c:ptCount val="4"/>
                <c:pt idx="0">
                  <c:v>Espresso</c:v>
                </c:pt>
                <c:pt idx="1">
                  <c:v>Latte</c:v>
                </c:pt>
                <c:pt idx="2">
                  <c:v>Cappuccino</c:v>
                </c:pt>
                <c:pt idx="3">
                  <c:v>Americano</c:v>
                </c:pt>
              </c:strCache>
            </c:strRef>
          </c:cat>
          <c:val>
            <c:numRef>
              <c:f>'3. Product Performance'!$I$9:$I$13</c:f>
              <c:numCache>
                <c:formatCode>0.00%</c:formatCode>
                <c:ptCount val="4"/>
                <c:pt idx="0">
                  <c:v>0.24675324675324675</c:v>
                </c:pt>
                <c:pt idx="1">
                  <c:v>0.23754789272030652</c:v>
                </c:pt>
                <c:pt idx="2">
                  <c:v>0.234375</c:v>
                </c:pt>
                <c:pt idx="3">
                  <c:v>0.21739130434782608</c:v>
                </c:pt>
              </c:numCache>
            </c:numRef>
          </c:val>
          <c:extLst>
            <c:ext xmlns:c16="http://schemas.microsoft.com/office/drawing/2014/chart" uri="{C3380CC4-5D6E-409C-BE32-E72D297353CC}">
              <c16:uniqueId val="{00000000-3396-447F-8034-CA09206DA143}"/>
            </c:ext>
          </c:extLst>
        </c:ser>
        <c:dLbls>
          <c:showLegendKey val="0"/>
          <c:showVal val="0"/>
          <c:showCatName val="0"/>
          <c:showSerName val="0"/>
          <c:showPercent val="0"/>
          <c:showBubbleSize val="0"/>
        </c:dLbls>
        <c:gapWidth val="150"/>
        <c:shape val="box"/>
        <c:axId val="1422069439"/>
        <c:axId val="1422070879"/>
        <c:axId val="0"/>
      </c:bar3DChart>
      <c:catAx>
        <c:axId val="14220694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070879"/>
        <c:crosses val="autoZero"/>
        <c:auto val="1"/>
        <c:lblAlgn val="ctr"/>
        <c:lblOffset val="100"/>
        <c:noMultiLvlLbl val="0"/>
      </c:catAx>
      <c:valAx>
        <c:axId val="14220708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06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[Lingeshwaran.R - PROJECT.xlsx]4. Time-Based Trends!PivotTable31</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'4. Time-Based Trends'!$J$20</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'4. Time-Based Trends'!$I$21:$I$31</c:f>
              <c:multiLvlStrCache>
                <c:ptCount val="5"/>
                <c:lvl>
                  <c:pt idx="0">
                    <c:v>Jan-2025</c:v>
                  </c:pt>
                  <c:pt idx="1">
                    <c:v>Jan-2025</c:v>
                  </c:pt>
                  <c:pt idx="2">
                    <c:v>Jan-2025</c:v>
                  </c:pt>
                  <c:pt idx="3">
                    <c:v>Jan-2025</c:v>
                  </c:pt>
                  <c:pt idx="4">
                    <c:v>Jan-2025</c:v>
                  </c:pt>
                </c:lvl>
                <c:lvl>
                  <c:pt idx="0">
                    <c:v>2025-01-01</c:v>
                  </c:pt>
                  <c:pt idx="1">
                    <c:v>2025-01-02</c:v>
                  </c:pt>
                  <c:pt idx="2">
                    <c:v>2025-01-03</c:v>
                  </c:pt>
                  <c:pt idx="3">
                    <c:v>2025-01-04</c:v>
                  </c:pt>
                  <c:pt idx="4">
                    <c:v>2025-01-05</c:v>
                  </c:pt>
                </c:lvl>
              </c:multiLvlStrCache>
            </c:multiLvlStrRef>
          </c:cat>
          <c:val>
            <c:numRef>
              <c:f>'4. Time-Based Trends'!$J$21:$J$31</c:f>
              <c:numCache>
                <c:formatCode>General</c:formatCode>
                <c:ptCount val="5"/>
                <c:pt idx="0">
                  <c:v>825</c:v>
                </c:pt>
                <c:pt idx="1">
                  <c:v>670</c:v>
                </c:pt>
                <c:pt idx="2">
                  <c:v>777.5</c:v>
                </c:pt>
                <c:pt idx="3">
                  <c:v>660</c:v>
                </c:pt>
                <c:pt idx="4">
                  <c:v>857.5</c:v>
                </c:pt>
              </c:numCache>
            </c:numRef>
          </c:val>
          <c:smooth val="0"/>
          <c:extLst>
            <c:ext xmlns:c16="http://schemas.microsoft.com/office/drawing/2014/chart" uri="{C3380CC4-5D6E-409C-BE32-E72D297353CC}">
              <c16:uniqueId val="{00000000-74EE-4424-8E85-BB8CB6844403}"/>
            </c:ext>
          </c:extLst>
        </c:ser>
        <c:dLbls>
          <c:showLegendKey val="0"/>
          <c:showVal val="0"/>
          <c:showCatName val="0"/>
          <c:showSerName val="0"/>
          <c:showPercent val="0"/>
          <c:showBubbleSize val="0"/>
        </c:dLbls>
        <c:marker val="1"/>
        <c:smooth val="0"/>
        <c:axId val="1198945088"/>
        <c:axId val="1198945568"/>
      </c:lineChart>
      <c:catAx>
        <c:axId val="1198945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945568"/>
        <c:crosses val="autoZero"/>
        <c:auto val="1"/>
        <c:lblAlgn val="ctr"/>
        <c:lblOffset val="100"/>
        <c:noMultiLvlLbl val="0"/>
      </c:catAx>
      <c:valAx>
        <c:axId val="119894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94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[Lingeshwaran.R - PROJECT.xlsx]4. Time-Based Trends!PivotTable28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 Time-Based Trends'!$D$9</c:f>
              <c:strCache>
                <c:ptCount val="1"/>
                <c:pt idx="0">
                  <c:v>Total</c:v>
                </c:pt>
              </c:strCache>
            </c:strRef>
          </c:tx>
          <c:spPr>
            <a:solidFill>
              <a:schemeClr val="accent1"/>
            </a:solidFill>
            <a:ln>
              <a:noFill/>
            </a:ln>
            <a:effectLst/>
          </c:spPr>
          <c:invertIfNegative val="0"/>
          <c:cat>
            <c:strRef>
              <c:f>'4. Time-Based Trends'!$C$10:$C$16</c:f>
              <c:strCache>
                <c:ptCount val="6"/>
                <c:pt idx="0">
                  <c:v>Sunday</c:v>
                </c:pt>
                <c:pt idx="1">
                  <c:v>Wednesday</c:v>
                </c:pt>
                <c:pt idx="2">
                  <c:v>Friday</c:v>
                </c:pt>
                <c:pt idx="3">
                  <c:v>Thursday</c:v>
                </c:pt>
                <c:pt idx="4">
                  <c:v>Saturday</c:v>
                </c:pt>
                <c:pt idx="5">
                  <c:v>(blank)</c:v>
                </c:pt>
              </c:strCache>
            </c:strRef>
          </c:cat>
          <c:val>
            <c:numRef>
              <c:f>'4. Time-Based Trends'!$D$10:$D$16</c:f>
              <c:numCache>
                <c:formatCode>General</c:formatCode>
                <c:ptCount val="6"/>
                <c:pt idx="0">
                  <c:v>857.5</c:v>
                </c:pt>
                <c:pt idx="1">
                  <c:v>825</c:v>
                </c:pt>
                <c:pt idx="2">
                  <c:v>777.5</c:v>
                </c:pt>
                <c:pt idx="3">
                  <c:v>670</c:v>
                </c:pt>
                <c:pt idx="4">
                  <c:v>660</c:v>
                </c:pt>
              </c:numCache>
            </c:numRef>
          </c:val>
          <c:extLst>
            <c:ext xmlns:c16="http://schemas.microsoft.com/office/drawing/2014/chart" uri="{C3380CC4-5D6E-409C-BE32-E72D297353CC}">
              <c16:uniqueId val="{00000000-6AD3-42B6-829C-907EE4DE777A}"/>
            </c:ext>
          </c:extLst>
        </c:ser>
        <c:dLbls>
          <c:showLegendKey val="0"/>
          <c:showVal val="0"/>
          <c:showCatName val="0"/>
          <c:showSerName val="0"/>
          <c:showPercent val="0"/>
          <c:showBubbleSize val="0"/>
        </c:dLbls>
        <c:gapWidth val="219"/>
        <c:overlap val="-27"/>
        <c:axId val="1290717744"/>
        <c:axId val="1290719664"/>
      </c:barChart>
      <c:catAx>
        <c:axId val="129071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19664"/>
        <c:crosses val="autoZero"/>
        <c:auto val="1"/>
        <c:lblAlgn val="ctr"/>
        <c:lblOffset val="100"/>
        <c:noMultiLvlLbl val="0"/>
      </c:catAx>
      <c:valAx>
        <c:axId val="129071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1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[Lingeshwaran.R - PROJECT.xlsx]5. Customer Insights (Optional,!PivotTable40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'5. Customer Insights (Optional,'!$I$9</c:f>
              <c:strCache>
                <c:ptCount val="1"/>
                <c:pt idx="0">
                  <c:v>Total</c:v>
                </c:pt>
              </c:strCache>
            </c:strRef>
          </c:tx>
          <c:spPr>
            <a:solidFill>
              <a:schemeClr val="accent1"/>
            </a:solidFill>
            <a:ln>
              <a:noFill/>
            </a:ln>
            <a:effectLst/>
          </c:spPr>
          <c:invertIfNegative val="0"/>
          <c:cat>
            <c:strRef>
              <c:f>'5. Customer Insights (Optional,'!$H$10:$H$20</c:f>
              <c:strCache>
                <c:ptCount val="10"/>
                <c:pt idx="0">
                  <c:v>dan</c:v>
                </c:pt>
                <c:pt idx="1">
                  <c:v>devi</c:v>
                </c:pt>
                <c:pt idx="2">
                  <c:v>devid</c:v>
                </c:pt>
                <c:pt idx="3">
                  <c:v>james</c:v>
                </c:pt>
                <c:pt idx="4">
                  <c:v>john</c:v>
                </c:pt>
                <c:pt idx="5">
                  <c:v>josuva</c:v>
                </c:pt>
                <c:pt idx="6">
                  <c:v>priya </c:v>
                </c:pt>
                <c:pt idx="7">
                  <c:v>santhosh</c:v>
                </c:pt>
                <c:pt idx="8">
                  <c:v>thomas</c:v>
                </c:pt>
                <c:pt idx="9">
                  <c:v>wick</c:v>
                </c:pt>
              </c:strCache>
            </c:strRef>
          </c:cat>
          <c:val>
            <c:numRef>
              <c:f>'5. Customer Insights (Optional,'!$I$10:$I$20</c:f>
              <c:numCache>
                <c:formatCode>General</c:formatCode>
                <c:ptCount val="10"/>
                <c:pt idx="0">
                  <c:v>472.5</c:v>
                </c:pt>
                <c:pt idx="1">
                  <c:v>405</c:v>
                </c:pt>
                <c:pt idx="2">
                  <c:v>360</c:v>
                </c:pt>
                <c:pt idx="3">
                  <c:v>350</c:v>
                </c:pt>
                <c:pt idx="4">
                  <c:v>420</c:v>
                </c:pt>
                <c:pt idx="5">
                  <c:v>340</c:v>
                </c:pt>
                <c:pt idx="6">
                  <c:v>330</c:v>
                </c:pt>
                <c:pt idx="7">
                  <c:v>385</c:v>
                </c:pt>
                <c:pt idx="8">
                  <c:v>300</c:v>
                </c:pt>
                <c:pt idx="9">
                  <c:v>427.5</c:v>
                </c:pt>
              </c:numCache>
            </c:numRef>
          </c:val>
          <c:extLst>
            <c:ext xmlns:c16="http://schemas.microsoft.com/office/drawing/2014/chart" uri="{C3380CC4-5D6E-409C-BE32-E72D297353CC}">
              <c16:uniqueId val="{00000000-238E-4CDA-8B8B-B66355ED6EF2}"/>
            </c:ext>
          </c:extLst>
        </c:ser>
        <c:dLbls>
          <c:showLegendKey val="0"/>
          <c:showVal val="0"/>
          <c:showCatName val="0"/>
          <c:showSerName val="0"/>
          <c:showPercent val="0"/>
          <c:showBubbleSize val="0"/>
        </c:dLbls>
        <c:gapWidth val="182"/>
        <c:axId val="1204224528"/>
        <c:axId val="1204225008"/>
      </c:barChart>
      <c:catAx>
        <c:axId val="120422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25008"/>
        <c:crosses val="autoZero"/>
        <c:auto val="1"/>
        <c:lblAlgn val="ctr"/>
        <c:lblOffset val="100"/>
        <c:noMultiLvlLbl val="0"/>
      </c:catAx>
      <c:valAx>
        <c:axId val="1204225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[Lingeshwaran.R - PROJECT.xlsx]1. Total Sales (Revenue Overvie!PivotTable1</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 Total Sales (Revenue Overvie'!$C$7</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'1. Total Sales (Revenue Overvie'!$B$8:$B$32</c:f>
              <c:multiLvlStrCache>
                <c:ptCount val="10"/>
                <c:lvl>
                  <c:pt idx="0">
                    <c:v>2025-01-04</c:v>
                  </c:pt>
                  <c:pt idx="1">
                    <c:v>2025-01-02</c:v>
                  </c:pt>
                  <c:pt idx="2">
                    <c:v>2025-01-02</c:v>
                  </c:pt>
                  <c:pt idx="3">
                    <c:v>2025-01-04</c:v>
                  </c:pt>
                  <c:pt idx="4">
                    <c:v>2025-01-03</c:v>
                  </c:pt>
                  <c:pt idx="5">
                    <c:v>2025-01-05</c:v>
                  </c:pt>
                  <c:pt idx="6">
                    <c:v>2025-01-01</c:v>
                  </c:pt>
                  <c:pt idx="7">
                    <c:v>2025-01-01</c:v>
                  </c:pt>
                  <c:pt idx="8">
                    <c:v>2025-01-03</c:v>
                  </c:pt>
                  <c:pt idx="9">
                    <c:v>2025-01-05</c:v>
                  </c:pt>
                </c:lvl>
                <c:lvl>
                  <c:pt idx="0">
                    <c:v>Chicago</c:v>
                  </c:pt>
                  <c:pt idx="1">
                    <c:v>New York</c:v>
                  </c:pt>
                  <c:pt idx="2">
                    <c:v>Los Angeles</c:v>
                  </c:pt>
                  <c:pt idx="3">
                    <c:v>New York</c:v>
                  </c:pt>
                  <c:pt idx="4">
                    <c:v>Chicago</c:v>
                  </c:pt>
                  <c:pt idx="5">
                    <c:v>Los Angeles</c:v>
                  </c:pt>
                  <c:pt idx="6">
                    <c:v>New York</c:v>
                  </c:pt>
                  <c:pt idx="7">
                    <c:v>Chicago</c:v>
                  </c:pt>
                  <c:pt idx="8">
                    <c:v>Los Angeles</c:v>
                  </c:pt>
                  <c:pt idx="9">
                    <c:v>New York</c:v>
                  </c:pt>
                </c:lvl>
                <c:lvl>
                  <c:pt idx="0">
                    <c:v>Americano</c:v>
                  </c:pt>
                  <c:pt idx="2">
                    <c:v>Cappuccino</c:v>
                  </c:pt>
                  <c:pt idx="4">
                    <c:v>Espresso</c:v>
                  </c:pt>
                  <c:pt idx="7">
                    <c:v>Latte</c:v>
                  </c:pt>
                </c:lvl>
              </c:multiLvlStrCache>
            </c:multiLvlStrRef>
          </c:cat>
          <c:val>
            <c:numRef>
              <c:f>'1. Total Sales (Revenue Overvie'!$C$8:$C$32</c:f>
              <c:numCache>
                <c:formatCode>General</c:formatCode>
                <c:ptCount val="10"/>
                <c:pt idx="0">
                  <c:v>360</c:v>
                </c:pt>
                <c:pt idx="1">
                  <c:v>330</c:v>
                </c:pt>
                <c:pt idx="2">
                  <c:v>340</c:v>
                </c:pt>
                <c:pt idx="3">
                  <c:v>300</c:v>
                </c:pt>
                <c:pt idx="4">
                  <c:v>350</c:v>
                </c:pt>
                <c:pt idx="5">
                  <c:v>385</c:v>
                </c:pt>
                <c:pt idx="6">
                  <c:v>420</c:v>
                </c:pt>
                <c:pt idx="7">
                  <c:v>405</c:v>
                </c:pt>
                <c:pt idx="8">
                  <c:v>427.5</c:v>
                </c:pt>
                <c:pt idx="9">
                  <c:v>472.5</c:v>
                </c:pt>
              </c:numCache>
            </c:numRef>
          </c:val>
          <c:smooth val="0"/>
          <c:extLst>
            <c:ext xmlns:c16="http://schemas.microsoft.com/office/drawing/2014/chart" uri="{C3380CC4-5D6E-409C-BE32-E72D297353CC}">
              <c16:uniqueId val="{00000000-0BCD-4E29-97C8-326D1B4EA91E}"/>
            </c:ext>
          </c:extLst>
        </c:ser>
        <c:dLbls>
          <c:showLegendKey val="0"/>
          <c:showVal val="0"/>
          <c:showCatName val="0"/>
          <c:showSerName val="0"/>
          <c:showPercent val="0"/>
          <c:showBubbleSize val="0"/>
        </c:dLbls>
        <c:marker val="1"/>
        <c:smooth val="0"/>
        <c:axId val="2112787968"/>
        <c:axId val="2112789408"/>
      </c:lineChart>
      <c:catAx>
        <c:axId val="21127879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89408"/>
        <c:crosses val="autoZero"/>
        <c:auto val="1"/>
        <c:lblAlgn val="ctr"/>
        <c:lblOffset val="100"/>
        <c:noMultiLvlLbl val="0"/>
      </c:catAx>
      <c:valAx>
        <c:axId val="211278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8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[Lingeshwaran.R - PROJECT.xlsx]2. Location-Based Analysis!PivotTable3</c:name>
    <c:fmtId val="11"/>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'2. Location-Based Analysis'!$C$8</c:f>
              <c:strCache>
                <c:ptCount val="1"/>
                <c:pt idx="0">
                  <c:v>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'2. Location-Based Analysis'!$B$9:$B$12</c:f>
              <c:strCache>
                <c:ptCount val="3"/>
                <c:pt idx="0">
                  <c:v>New York</c:v>
                </c:pt>
                <c:pt idx="1">
                  <c:v>Los Angeles</c:v>
                </c:pt>
                <c:pt idx="2">
                  <c:v>Chicago</c:v>
                </c:pt>
              </c:strCache>
            </c:strRef>
          </c:cat>
          <c:val>
            <c:numRef>
              <c:f>'2. Location-Based Analysis'!$C$9:$C$12</c:f>
              <c:numCache>
                <c:formatCode>General</c:formatCode>
                <c:ptCount val="3"/>
                <c:pt idx="0">
                  <c:v>1522.5</c:v>
                </c:pt>
                <c:pt idx="1">
                  <c:v>1152.5</c:v>
                </c:pt>
                <c:pt idx="2">
                  <c:v>1115</c:v>
                </c:pt>
              </c:numCache>
            </c:numRef>
          </c:val>
          <c:extLst>
            <c:ext xmlns:c16="http://schemas.microsoft.com/office/drawing/2014/chart" uri="{C3380CC4-5D6E-409C-BE32-E72D297353CC}">
              <c16:uniqueId val="{00000000-55F4-42CA-BD0C-B490AC444CFF}"/>
            </c:ext>
          </c:extLst>
        </c:ser>
        <c:dLbls>
          <c:showLegendKey val="0"/>
          <c:showVal val="1"/>
          <c:showCatName val="0"/>
          <c:showSerName val="0"/>
          <c:showPercent val="0"/>
          <c:showBubbleSize val="0"/>
        </c:dLbls>
        <c:gapWidth val="79"/>
        <c:shape val="box"/>
        <c:axId val="197383151"/>
        <c:axId val="197383631"/>
        <c:axId val="0"/>
      </c:bar3DChart>
      <c:catAx>
        <c:axId val="19738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7383631"/>
        <c:crosses val="autoZero"/>
        <c:auto val="1"/>
        <c:lblAlgn val="ctr"/>
        <c:lblOffset val="100"/>
        <c:noMultiLvlLbl val="0"/>
      </c:catAx>
      <c:valAx>
        <c:axId val="197383631"/>
        <c:scaling>
          <c:orientation val="minMax"/>
        </c:scaling>
        <c:delete val="1"/>
        <c:axPos val="b"/>
        <c:numFmt formatCode="General" sourceLinked="1"/>
        <c:majorTickMark val="none"/>
        <c:minorTickMark val="none"/>
        <c:tickLblPos val="nextTo"/>
        <c:crossAx val="19738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[Lingeshwaran.R - PROJECT.xlsx]2. Location-Based Analysis!PivotTable5</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'2. Location-Based Analysis'!$G$8</c:f>
              <c:strCache>
                <c:ptCount val="1"/>
                <c:pt idx="0">
                  <c:v>Sum of Units Sold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C73-47CD-9A50-736455A86FE4}"/>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C73-47CD-9A50-736455A86FE4}"/>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C73-47CD-9A50-736455A86FE4}"/>
              </c:ext>
            </c:extLst>
          </c:dPt>
          <c:cat>
            <c:strRef>
              <c:f>'2. Location-Based Analysis'!$F$9:$F$12</c:f>
              <c:strCache>
                <c:ptCount val="3"/>
                <c:pt idx="0">
                  <c:v>Chicago</c:v>
                </c:pt>
                <c:pt idx="1">
                  <c:v>Los Angeles</c:v>
                </c:pt>
                <c:pt idx="2">
                  <c:v>New York</c:v>
                </c:pt>
              </c:strCache>
            </c:strRef>
          </c:cat>
          <c:val>
            <c:numRef>
              <c:f>'2. Location-Based Analysis'!$G$9:$G$12</c:f>
              <c:numCache>
                <c:formatCode>General</c:formatCode>
                <c:ptCount val="3"/>
                <c:pt idx="0">
                  <c:v>310</c:v>
                </c:pt>
                <c:pt idx="1">
                  <c:v>290</c:v>
                </c:pt>
                <c:pt idx="2">
                  <c:v>410</c:v>
                </c:pt>
              </c:numCache>
            </c:numRef>
          </c:val>
          <c:extLst>
            <c:ext xmlns:c16="http://schemas.microsoft.com/office/drawing/2014/chart" uri="{C3380CC4-5D6E-409C-BE32-E72D297353CC}">
              <c16:uniqueId val="{00000006-6C73-47CD-9A50-736455A86FE4}"/>
            </c:ext>
          </c:extLst>
        </c:ser>
        <c:ser>
          <c:idx val="1"/>
          <c:order val="1"/>
          <c:tx>
            <c:strRef>
              <c:f>'2. Location-Based Analysis'!$H$8</c:f>
              <c:strCache>
                <c:ptCount val="1"/>
                <c:pt idx="0">
                  <c:v>Sum of Total Revenue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6C73-47CD-9A50-736455A86FE4}"/>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6C73-47CD-9A50-736455A86FE4}"/>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6C73-47CD-9A50-736455A86FE4}"/>
              </c:ext>
            </c:extLst>
          </c:dPt>
          <c:cat>
            <c:strRef>
              <c:f>'2. Location-Based Analysis'!$F$9:$F$12</c:f>
              <c:strCache>
                <c:ptCount val="3"/>
                <c:pt idx="0">
                  <c:v>Chicago</c:v>
                </c:pt>
                <c:pt idx="1">
                  <c:v>Los Angeles</c:v>
                </c:pt>
                <c:pt idx="2">
                  <c:v>New York</c:v>
                </c:pt>
              </c:strCache>
            </c:strRef>
          </c:cat>
          <c:val>
            <c:numRef>
              <c:f>'2. Location-Based Analysis'!$H$9:$H$12</c:f>
              <c:numCache>
                <c:formatCode>0.00%</c:formatCode>
                <c:ptCount val="3"/>
                <c:pt idx="0">
                  <c:v>0.29419525065963059</c:v>
                </c:pt>
                <c:pt idx="1">
                  <c:v>0.30408970976253297</c:v>
                </c:pt>
                <c:pt idx="2">
                  <c:v>0.40171503957783639</c:v>
                </c:pt>
              </c:numCache>
            </c:numRef>
          </c:val>
          <c:extLst>
            <c:ext xmlns:c16="http://schemas.microsoft.com/office/drawing/2014/chart" uri="{C3380CC4-5D6E-409C-BE32-E72D297353CC}">
              <c16:uniqueId val="{0000000D-6C73-47CD-9A50-736455A86F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[Lingeshwaran.R - PROJECT.xlsx]3. Product Performance!PivotTable9</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Product Performance'!$C$8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'3. Product Performance'!$B$9:$B$13</c:f>
              <c:strCache>
                <c:ptCount val="4"/>
                <c:pt idx="0">
                  <c:v>Espresso</c:v>
                </c:pt>
                <c:pt idx="1">
                  <c:v>Latte</c:v>
                </c:pt>
                <c:pt idx="2">
                  <c:v>Americano</c:v>
                </c:pt>
                <c:pt idx="3">
                  <c:v>Cappuccino</c:v>
                </c:pt>
              </c:strCache>
            </c:strRef>
          </c:cat>
          <c:val>
            <c:numRef>
              <c:f>'3. Product Performance'!$C$9:$C$13</c:f>
              <c:numCache>
                <c:formatCode>General</c:formatCode>
                <c:ptCount val="4"/>
                <c:pt idx="0">
                  <c:v>330</c:v>
                </c:pt>
                <c:pt idx="1">
                  <c:v>290</c:v>
                </c:pt>
                <c:pt idx="2">
                  <c:v>230</c:v>
                </c:pt>
                <c:pt idx="3">
                  <c:v>160</c:v>
                </c:pt>
              </c:numCache>
            </c:numRef>
          </c:val>
          <c:extLst>
            <c:ext xmlns:c16="http://schemas.microsoft.com/office/drawing/2014/chart" uri="{C3380CC4-5D6E-409C-BE32-E72D297353CC}">
              <c16:uniqueId val="{00000000-817E-4AB3-B9C2-0546D0F5775B}"/>
            </c:ext>
          </c:extLst>
        </c:ser>
        <c:dLbls>
          <c:showLegendKey val="0"/>
          <c:showVal val="0"/>
          <c:showCatName val="0"/>
          <c:showSerName val="0"/>
          <c:showPercent val="0"/>
          <c:showBubbleSize val="0"/>
        </c:dLbls>
        <c:gapWidth val="100"/>
        <c:overlap val="-24"/>
        <c:axId val="1343796527"/>
        <c:axId val="806595039"/>
      </c:barChart>
      <c:catAx>
        <c:axId val="1343796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95039"/>
        <c:crosses val="autoZero"/>
        <c:auto val="1"/>
        <c:lblAlgn val="ctr"/>
        <c:lblOffset val="100"/>
        <c:noMultiLvlLbl val="0"/>
      </c:catAx>
      <c:valAx>
        <c:axId val="80659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79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[Lingeshwaran.R - PROJECT.xlsx]3. Product Performance!PivotTable24</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'3. Product Performance'!$I$8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'3. Product Performance'!$H$9:$H$13</c:f>
              <c:strCache>
                <c:ptCount val="4"/>
                <c:pt idx="0">
                  <c:v>Espresso</c:v>
                </c:pt>
                <c:pt idx="1">
                  <c:v>Latte</c:v>
                </c:pt>
                <c:pt idx="2">
                  <c:v>Cappuccino</c:v>
                </c:pt>
                <c:pt idx="3">
                  <c:v>Americano</c:v>
                </c:pt>
              </c:strCache>
            </c:strRef>
          </c:cat>
          <c:val>
            <c:numRef>
              <c:f>'3. Product Performance'!$I$9:$I$13</c:f>
              <c:numCache>
                <c:formatCode>0.00%</c:formatCode>
                <c:ptCount val="4"/>
                <c:pt idx="0">
                  <c:v>0.24675324675324675</c:v>
                </c:pt>
                <c:pt idx="1">
                  <c:v>0.23754789272030652</c:v>
                </c:pt>
                <c:pt idx="2">
                  <c:v>0.234375</c:v>
                </c:pt>
                <c:pt idx="3">
                  <c:v>0.21739130434782608</c:v>
                </c:pt>
              </c:numCache>
            </c:numRef>
          </c:val>
          <c:extLst>
            <c:ext xmlns:c16="http://schemas.microsoft.com/office/drawing/2014/chart" uri="{C3380CC4-5D6E-409C-BE32-E72D297353CC}">
              <c16:uniqueId val="{00000000-3488-4A4A-B970-CE271F208192}"/>
            </c:ext>
          </c:extLst>
        </c:ser>
        <c:dLbls>
          <c:showLegendKey val="0"/>
          <c:showVal val="0"/>
          <c:showCatName val="0"/>
          <c:showSerName val="0"/>
          <c:showPercent val="0"/>
          <c:showBubbleSize val="0"/>
        </c:dLbls>
        <c:gapWidth val="150"/>
        <c:shape val="box"/>
        <c:axId val="1422069439"/>
        <c:axId val="1422070879"/>
        <c:axId val="0"/>
      </c:bar3DChart>
      <c:catAx>
        <c:axId val="14220694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070879"/>
        <c:crosses val="autoZero"/>
        <c:auto val="1"/>
        <c:lblAlgn val="ctr"/>
        <c:lblOffset val="100"/>
        <c:noMultiLvlLbl val="0"/>
      </c:catAx>
      <c:valAx>
        <c:axId val="14220708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06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[Lingeshwaran.R - PROJECT.xlsx]4. Time-Based Trends!PivotTable28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 Time-Based Trends'!$D$9</c:f>
              <c:strCache>
                <c:ptCount val="1"/>
                <c:pt idx="0">
                  <c:v>Total</c:v>
                </c:pt>
              </c:strCache>
            </c:strRef>
          </c:tx>
          <c:spPr>
            <a:solidFill>
              <a:schemeClr val="accent1"/>
            </a:solidFill>
            <a:ln>
              <a:noFill/>
            </a:ln>
            <a:effectLst/>
          </c:spPr>
          <c:invertIfNegative val="0"/>
          <c:cat>
            <c:strRef>
              <c:f>'4. Time-Based Trends'!$C$10:$C$16</c:f>
              <c:strCache>
                <c:ptCount val="6"/>
                <c:pt idx="0">
                  <c:v>Sunday</c:v>
                </c:pt>
                <c:pt idx="1">
                  <c:v>Wednesday</c:v>
                </c:pt>
                <c:pt idx="2">
                  <c:v>Friday</c:v>
                </c:pt>
                <c:pt idx="3">
                  <c:v>Thursday</c:v>
                </c:pt>
                <c:pt idx="4">
                  <c:v>Saturday</c:v>
                </c:pt>
                <c:pt idx="5">
                  <c:v>(blank)</c:v>
                </c:pt>
              </c:strCache>
            </c:strRef>
          </c:cat>
          <c:val>
            <c:numRef>
              <c:f>'4. Time-Based Trends'!$D$10:$D$16</c:f>
              <c:numCache>
                <c:formatCode>General</c:formatCode>
                <c:ptCount val="6"/>
                <c:pt idx="0">
                  <c:v>857.5</c:v>
                </c:pt>
                <c:pt idx="1">
                  <c:v>825</c:v>
                </c:pt>
                <c:pt idx="2">
                  <c:v>777.5</c:v>
                </c:pt>
                <c:pt idx="3">
                  <c:v>670</c:v>
                </c:pt>
                <c:pt idx="4">
                  <c:v>660</c:v>
                </c:pt>
              </c:numCache>
            </c:numRef>
          </c:val>
          <c:extLst>
            <c:ext xmlns:c16="http://schemas.microsoft.com/office/drawing/2014/chart" uri="{C3380CC4-5D6E-409C-BE32-E72D297353CC}">
              <c16:uniqueId val="{00000000-723E-491D-AB33-899CDD9C1685}"/>
            </c:ext>
          </c:extLst>
        </c:ser>
        <c:dLbls>
          <c:showLegendKey val="0"/>
          <c:showVal val="0"/>
          <c:showCatName val="0"/>
          <c:showSerName val="0"/>
          <c:showPercent val="0"/>
          <c:showBubbleSize val="0"/>
        </c:dLbls>
        <c:gapWidth val="219"/>
        <c:overlap val="-27"/>
        <c:axId val="1290717744"/>
        <c:axId val="1290719664"/>
      </c:barChart>
      <c:catAx>
        <c:axId val="129071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19664"/>
        <c:crosses val="autoZero"/>
        <c:auto val="1"/>
        <c:lblAlgn val="ctr"/>
        <c:lblOffset val="100"/>
        <c:noMultiLvlLbl val="0"/>
      </c:catAx>
      <c:valAx>
        <c:axId val="129071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1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[Lingeshwaran.R - PROJECT.xlsx]4. Time-Based Trends!PivotTable31</c:name>
    <c:fmtId val="2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'4. Time-Based Trends'!$J$20</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'4. Time-Based Trends'!$I$21:$I$31</c:f>
              <c:multiLvlStrCache>
                <c:ptCount val="5"/>
                <c:lvl>
                  <c:pt idx="0">
                    <c:v>Jan-2025</c:v>
                  </c:pt>
                  <c:pt idx="1">
                    <c:v>Jan-2025</c:v>
                  </c:pt>
                  <c:pt idx="2">
                    <c:v>Jan-2025</c:v>
                  </c:pt>
                  <c:pt idx="3">
                    <c:v>Jan-2025</c:v>
                  </c:pt>
                  <c:pt idx="4">
                    <c:v>Jan-2025</c:v>
                  </c:pt>
                </c:lvl>
                <c:lvl>
                  <c:pt idx="0">
                    <c:v>2025-01-01</c:v>
                  </c:pt>
                  <c:pt idx="1">
                    <c:v>2025-01-02</c:v>
                  </c:pt>
                  <c:pt idx="2">
                    <c:v>2025-01-03</c:v>
                  </c:pt>
                  <c:pt idx="3">
                    <c:v>2025-01-04</c:v>
                  </c:pt>
                  <c:pt idx="4">
                    <c:v>2025-01-05</c:v>
                  </c:pt>
                </c:lvl>
              </c:multiLvlStrCache>
            </c:multiLvlStrRef>
          </c:cat>
          <c:val>
            <c:numRef>
              <c:f>'4. Time-Based Trends'!$J$21:$J$31</c:f>
              <c:numCache>
                <c:formatCode>General</c:formatCode>
                <c:ptCount val="5"/>
                <c:pt idx="0">
                  <c:v>825</c:v>
                </c:pt>
                <c:pt idx="1">
                  <c:v>670</c:v>
                </c:pt>
                <c:pt idx="2">
                  <c:v>777.5</c:v>
                </c:pt>
                <c:pt idx="3">
                  <c:v>660</c:v>
                </c:pt>
                <c:pt idx="4">
                  <c:v>857.5</c:v>
                </c:pt>
              </c:numCache>
            </c:numRef>
          </c:val>
          <c:smooth val="0"/>
          <c:extLst>
            <c:ext xmlns:c16="http://schemas.microsoft.com/office/drawing/2014/chart" uri="{C3380CC4-5D6E-409C-BE32-E72D297353CC}">
              <c16:uniqueId val="{00000000-F6FF-4BF1-A420-31460FB2FFFD}"/>
            </c:ext>
          </c:extLst>
        </c:ser>
        <c:dLbls>
          <c:showLegendKey val="0"/>
          <c:showVal val="0"/>
          <c:showCatName val="0"/>
          <c:showSerName val="0"/>
          <c:showPercent val="0"/>
          <c:showBubbleSize val="0"/>
        </c:dLbls>
        <c:marker val="1"/>
        <c:smooth val="0"/>
        <c:axId val="1198945088"/>
        <c:axId val="1198945568"/>
      </c:lineChart>
      <c:catAx>
        <c:axId val="1198945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945568"/>
        <c:crosses val="autoZero"/>
        <c:auto val="1"/>
        <c:lblAlgn val="ctr"/>
        <c:lblOffset val="100"/>
        <c:noMultiLvlLbl val="0"/>
      </c:catAx>
      <c:valAx>
        <c:axId val="119894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94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[Lingeshwaran.R - PROJECT.xlsx]5. Customer Insights (Optional,!PivotTable40</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'5. Customer Insights (Optional,'!$I$9</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'5. Customer Insights (Optional,'!$H$10:$H$20</c:f>
              <c:strCache>
                <c:ptCount val="10"/>
                <c:pt idx="0">
                  <c:v>dan</c:v>
                </c:pt>
                <c:pt idx="1">
                  <c:v>devi</c:v>
                </c:pt>
                <c:pt idx="2">
                  <c:v>devid</c:v>
                </c:pt>
                <c:pt idx="3">
                  <c:v>james</c:v>
                </c:pt>
                <c:pt idx="4">
                  <c:v>john</c:v>
                </c:pt>
                <c:pt idx="5">
                  <c:v>josuva</c:v>
                </c:pt>
                <c:pt idx="6">
                  <c:v>priya </c:v>
                </c:pt>
                <c:pt idx="7">
                  <c:v>santhosh</c:v>
                </c:pt>
                <c:pt idx="8">
                  <c:v>thomas</c:v>
                </c:pt>
                <c:pt idx="9">
                  <c:v>wick</c:v>
                </c:pt>
              </c:strCache>
            </c:strRef>
          </c:cat>
          <c:val>
            <c:numRef>
              <c:f>'5. Customer Insights (Optional,'!$I$10:$I$20</c:f>
              <c:numCache>
                <c:formatCode>General</c:formatCode>
                <c:ptCount val="10"/>
                <c:pt idx="0">
                  <c:v>472.5</c:v>
                </c:pt>
                <c:pt idx="1">
                  <c:v>405</c:v>
                </c:pt>
                <c:pt idx="2">
                  <c:v>360</c:v>
                </c:pt>
                <c:pt idx="3">
                  <c:v>350</c:v>
                </c:pt>
                <c:pt idx="4">
                  <c:v>420</c:v>
                </c:pt>
                <c:pt idx="5">
                  <c:v>340</c:v>
                </c:pt>
                <c:pt idx="6">
                  <c:v>330</c:v>
                </c:pt>
                <c:pt idx="7">
                  <c:v>385</c:v>
                </c:pt>
                <c:pt idx="8">
                  <c:v>300</c:v>
                </c:pt>
                <c:pt idx="9">
                  <c:v>427.5</c:v>
                </c:pt>
              </c:numCache>
            </c:numRef>
          </c:val>
          <c:extLst>
            <c:ext xmlns:c16="http://schemas.microsoft.com/office/drawing/2014/chart" uri="{C3380CC4-5D6E-409C-BE32-E72D297353CC}">
              <c16:uniqueId val="{00000000-DBCB-48B5-A685-D415F714D1CA}"/>
            </c:ext>
          </c:extLst>
        </c:ser>
        <c:dLbls>
          <c:showLegendKey val="0"/>
          <c:showVal val="0"/>
          <c:showCatName val="0"/>
          <c:showSerName val="0"/>
          <c:showPercent val="0"/>
          <c:showBubbleSize val="0"/>
        </c:dLbls>
        <c:gapWidth val="115"/>
        <c:overlap val="-20"/>
        <c:axId val="1204224528"/>
        <c:axId val="1204225008"/>
      </c:barChart>
      <c:catAx>
        <c:axId val="12042245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25008"/>
        <c:crosses val="autoZero"/>
        <c:auto val="1"/>
        <c:lblAlgn val="ctr"/>
        <c:lblOffset val="100"/>
        <c:noMultiLvlLbl val="0"/>
      </c:catAx>
      <c:valAx>
        <c:axId val="1204225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1273479</xdr:colOff>
      <xdr:row>6</xdr:row>
      <xdr:rowOff>10438</xdr:rowOff>
    </xdr:from>
    <xdr:to>
      <xdr:col>20</xdr:col>
      <xdr:colOff>292273</xdr:colOff>
      <xdr:row>23</xdr:row>
      <xdr:rowOff>146137</xdr:rowOff>
    </xdr:to>
    <xdr:graphicFrame macro="">
      <xdr:nvGraphicFramePr>
        <xdr:cNvPr id="2" name="Chart 1">
          <a:extLst>
            <a:ext uri="{FF2B5EF4-FFF2-40B4-BE49-F238E27FC236}">
              <a16:creationId xmlns:a16="http://schemas.microsoft.com/office/drawing/2014/main" id="{53642A0A-8C0D-60C0-E126-168AA630E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637056</xdr:colOff>
      <xdr:row>28</xdr:row>
      <xdr:rowOff>77651</xdr:rowOff>
    </xdr:from>
    <xdr:to>
      <xdr:col>5</xdr:col>
      <xdr:colOff>2460413</xdr:colOff>
      <xdr:row>42</xdr:row>
      <xdr:rowOff>6339</xdr:rowOff>
    </xdr:to>
    <mc:AlternateContent xmlns:mc="http://schemas.openxmlformats.org/markup-compatibility/2006" xmlns:a14="http://schemas.microsoft.com/office/drawing/2010/main">
      <mc:Choice Requires="a14">
        <xdr:graphicFrame macro="">
          <xdr:nvGraphicFramePr>
            <xdr:cNvPr id="3" name="Date 1">
              <a:extLst>
                <a:ext uri="{FF2B5EF4-FFF2-40B4-BE49-F238E27FC236}">
                  <a16:creationId xmlns:a16="http://schemas.microsoft.com/office/drawing/2014/main" id="{35BCC5FB-25B5-D2D5-68EA-2A81AAA9B253}"/>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5649323" y="5343918"/>
              <a:ext cx="1823357" cy="2529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67250</xdr:colOff>
      <xdr:row>28</xdr:row>
      <xdr:rowOff>93254</xdr:rowOff>
    </xdr:from>
    <xdr:to>
      <xdr:col>9</xdr:col>
      <xdr:colOff>232955</xdr:colOff>
      <xdr:row>42</xdr:row>
      <xdr:rowOff>20229</xdr:rowOff>
    </xdr:to>
    <mc:AlternateContent xmlns:mc="http://schemas.openxmlformats.org/markup-compatibility/2006" xmlns:a14="http://schemas.microsoft.com/office/drawing/2010/main">
      <mc:Choice Requires="a14">
        <xdr:graphicFrame macro="">
          <xdr:nvGraphicFramePr>
            <xdr:cNvPr id="4" name="Store Location 2">
              <a:extLst>
                <a:ext uri="{FF2B5EF4-FFF2-40B4-BE49-F238E27FC236}">
                  <a16:creationId xmlns:a16="http://schemas.microsoft.com/office/drawing/2014/main" id="{D926B75C-1522-AC50-668F-B5FBE2C63691}"/>
                </a:ext>
              </a:extLst>
            </xdr:cNvPr>
            <xdr:cNvGraphicFramePr/>
          </xdr:nvGraphicFramePr>
          <xdr:xfrm>
            <a:off x="0" y="0"/>
            <a:ext cx="0" cy="0"/>
          </xdr:xfrm>
          <a:graphic>
            <a:graphicData uri="http://schemas.microsoft.com/office/drawing/2010/slicer">
              <sle:slicer xmlns:sle="http://schemas.microsoft.com/office/drawing/2010/slicer" name="Store Location 2"/>
            </a:graphicData>
          </a:graphic>
        </xdr:graphicFrame>
      </mc:Choice>
      <mc:Fallback xmlns="">
        <xdr:sp macro="" textlink="">
          <xdr:nvSpPr>
            <xdr:cNvPr id="0" name=""/>
            <xdr:cNvSpPr>
              <a:spLocks noTextEdit="1"/>
            </xdr:cNvSpPr>
          </xdr:nvSpPr>
          <xdr:spPr>
            <a:xfrm>
              <a:off x="7788850" y="5359521"/>
              <a:ext cx="1825171" cy="2534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218319</xdr:colOff>
      <xdr:row>28</xdr:row>
      <xdr:rowOff>59871</xdr:rowOff>
    </xdr:from>
    <xdr:to>
      <xdr:col>16</xdr:col>
      <xdr:colOff>223762</xdr:colOff>
      <xdr:row>41</xdr:row>
      <xdr:rowOff>173113</xdr:rowOff>
    </xdr:to>
    <mc:AlternateContent xmlns:mc="http://schemas.openxmlformats.org/markup-compatibility/2006" xmlns:a14="http://schemas.microsoft.com/office/drawing/2010/main">
      <mc:Choice Requires="a14">
        <xdr:graphicFrame macro="">
          <xdr:nvGraphicFramePr>
            <xdr:cNvPr id="5" name="Total Revenue 6">
              <a:extLst>
                <a:ext uri="{FF2B5EF4-FFF2-40B4-BE49-F238E27FC236}">
                  <a16:creationId xmlns:a16="http://schemas.microsoft.com/office/drawing/2014/main" id="{C160E784-364A-849C-B079-5BC143AA6192}"/>
                </a:ext>
              </a:extLst>
            </xdr:cNvPr>
            <xdr:cNvGraphicFramePr/>
          </xdr:nvGraphicFramePr>
          <xdr:xfrm>
            <a:off x="0" y="0"/>
            <a:ext cx="0" cy="0"/>
          </xdr:xfrm>
          <a:graphic>
            <a:graphicData uri="http://schemas.microsoft.com/office/drawing/2010/slicer">
              <sle:slicer xmlns:sle="http://schemas.microsoft.com/office/drawing/2010/slicer" name="Total Revenue 6"/>
            </a:graphicData>
          </a:graphic>
        </xdr:graphicFrame>
      </mc:Choice>
      <mc:Fallback xmlns="">
        <xdr:sp macro="" textlink="">
          <xdr:nvSpPr>
            <xdr:cNvPr id="0" name=""/>
            <xdr:cNvSpPr>
              <a:spLocks noTextEdit="1"/>
            </xdr:cNvSpPr>
          </xdr:nvSpPr>
          <xdr:spPr>
            <a:xfrm>
              <a:off x="12037786" y="5326138"/>
              <a:ext cx="1834243" cy="2534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515377</xdr:colOff>
      <xdr:row>28</xdr:row>
      <xdr:rowOff>63620</xdr:rowOff>
    </xdr:from>
    <xdr:to>
      <xdr:col>12</xdr:col>
      <xdr:colOff>520820</xdr:colOff>
      <xdr:row>41</xdr:row>
      <xdr:rowOff>176862</xdr:rowOff>
    </xdr:to>
    <mc:AlternateContent xmlns:mc="http://schemas.openxmlformats.org/markup-compatibility/2006" xmlns:a14="http://schemas.microsoft.com/office/drawing/2010/main">
      <mc:Choice Requires="a14">
        <xdr:graphicFrame macro="">
          <xdr:nvGraphicFramePr>
            <xdr:cNvPr id="6" name="Product Type 2">
              <a:extLst>
                <a:ext uri="{FF2B5EF4-FFF2-40B4-BE49-F238E27FC236}">
                  <a16:creationId xmlns:a16="http://schemas.microsoft.com/office/drawing/2014/main" id="{D51095A0-740A-D6A1-B1E5-6C14CF8F3805}"/>
                </a:ext>
              </a:extLst>
            </xdr:cNvPr>
            <xdr:cNvGraphicFramePr/>
          </xdr:nvGraphicFramePr>
          <xdr:xfrm>
            <a:off x="0" y="0"/>
            <a:ext cx="0" cy="0"/>
          </xdr:xfrm>
          <a:graphic>
            <a:graphicData uri="http://schemas.microsoft.com/office/drawing/2010/slicer">
              <sle:slicer xmlns:sle="http://schemas.microsoft.com/office/drawing/2010/slicer" name="Product Type 2"/>
            </a:graphicData>
          </a:graphic>
        </xdr:graphicFrame>
      </mc:Choice>
      <mc:Fallback xmlns="">
        <xdr:sp macro="" textlink="">
          <xdr:nvSpPr>
            <xdr:cNvPr id="0" name=""/>
            <xdr:cNvSpPr>
              <a:spLocks noTextEdit="1"/>
            </xdr:cNvSpPr>
          </xdr:nvSpPr>
          <xdr:spPr>
            <a:xfrm>
              <a:off x="9896444" y="5329887"/>
              <a:ext cx="1834243" cy="2534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707571</xdr:colOff>
      <xdr:row>2</xdr:row>
      <xdr:rowOff>90714</xdr:rowOff>
    </xdr:from>
    <xdr:ext cx="184731" cy="264560"/>
    <xdr:sp macro="" textlink="">
      <xdr:nvSpPr>
        <xdr:cNvPr id="7" name="TextBox 6">
          <a:extLst>
            <a:ext uri="{FF2B5EF4-FFF2-40B4-BE49-F238E27FC236}">
              <a16:creationId xmlns:a16="http://schemas.microsoft.com/office/drawing/2014/main" id="{A645ADFE-96B2-95ED-CE34-8408524A15C2}"/>
            </a:ext>
          </a:extLst>
        </xdr:cNvPr>
        <xdr:cNvSpPr txBox="1"/>
      </xdr:nvSpPr>
      <xdr:spPr>
        <a:xfrm>
          <a:off x="3791857" y="4535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137160</xdr:colOff>
      <xdr:row>17</xdr:row>
      <xdr:rowOff>106680</xdr:rowOff>
    </xdr:from>
    <xdr:to>
      <xdr:col>4</xdr:col>
      <xdr:colOff>495300</xdr:colOff>
      <xdr:row>31</xdr:row>
      <xdr:rowOff>3810</xdr:rowOff>
    </xdr:to>
    <xdr:graphicFrame macro="">
      <xdr:nvGraphicFramePr>
        <xdr:cNvPr id="2" name="Chart 1">
          <a:extLst>
            <a:ext uri="{FF2B5EF4-FFF2-40B4-BE49-F238E27FC236}">
              <a16:creationId xmlns:a16="http://schemas.microsoft.com/office/drawing/2014/main" id="{B718760F-4ED9-3204-B3EE-4692EC83B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16</xdr:row>
      <xdr:rowOff>171450</xdr:rowOff>
    </xdr:from>
    <xdr:to>
      <xdr:col>8</xdr:col>
      <xdr:colOff>0</xdr:colOff>
      <xdr:row>31</xdr:row>
      <xdr:rowOff>171450</xdr:rowOff>
    </xdr:to>
    <xdr:graphicFrame macro="">
      <xdr:nvGraphicFramePr>
        <xdr:cNvPr id="3" name="Chart 2">
          <a:extLst>
            <a:ext uri="{FF2B5EF4-FFF2-40B4-BE49-F238E27FC236}">
              <a16:creationId xmlns:a16="http://schemas.microsoft.com/office/drawing/2014/main" id="{47F732D2-AD6B-D5AC-D862-EC1CEE089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249702</xdr:colOff>
      <xdr:row>31</xdr:row>
      <xdr:rowOff>145366</xdr:rowOff>
    </xdr:from>
    <xdr:to>
      <xdr:col>13</xdr:col>
      <xdr:colOff>539262</xdr:colOff>
      <xdr:row>45</xdr:row>
      <xdr:rowOff>158701</xdr:rowOff>
    </xdr:to>
    <mc:AlternateContent xmlns:mc="http://schemas.openxmlformats.org/markup-compatibility/2006" xmlns:a14="http://schemas.microsoft.com/office/drawing/2010/main">
      <mc:Choice Requires="a14">
        <xdr:graphicFrame macro="">
          <xdr:nvGraphicFramePr>
            <xdr:cNvPr id="4" name="Units Sold 1">
              <a:extLst>
                <a:ext uri="{FF2B5EF4-FFF2-40B4-BE49-F238E27FC236}">
                  <a16:creationId xmlns:a16="http://schemas.microsoft.com/office/drawing/2014/main" id="{8A91DA61-9820-9FFE-43B4-5207D5376B33}"/>
                </a:ext>
              </a:extLst>
            </xdr:cNvPr>
            <xdr:cNvGraphicFramePr/>
          </xdr:nvGraphicFramePr>
          <xdr:xfrm>
            <a:off x="0" y="0"/>
            <a:ext cx="0" cy="0"/>
          </xdr:xfrm>
          <a:graphic>
            <a:graphicData uri="http://schemas.microsoft.com/office/drawing/2010/slicer">
              <sle:slicer xmlns:sle="http://schemas.microsoft.com/office/drawing/2010/slicer" name="Units Sold 1"/>
            </a:graphicData>
          </a:graphic>
        </xdr:graphicFrame>
      </mc:Choice>
      <mc:Fallback xmlns="">
        <xdr:sp macro="" textlink="">
          <xdr:nvSpPr>
            <xdr:cNvPr id="0" name=""/>
            <xdr:cNvSpPr>
              <a:spLocks noTextEdit="1"/>
            </xdr:cNvSpPr>
          </xdr:nvSpPr>
          <xdr:spPr>
            <a:xfrm>
              <a:off x="12705471" y="5596597"/>
              <a:ext cx="1828214" cy="2475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1110761</xdr:colOff>
      <xdr:row>32</xdr:row>
      <xdr:rowOff>41031</xdr:rowOff>
    </xdr:from>
    <xdr:to>
      <xdr:col>7</xdr:col>
      <xdr:colOff>1361048</xdr:colOff>
      <xdr:row>46</xdr:row>
      <xdr:rowOff>54366</xdr:rowOff>
    </xdr:to>
    <mc:AlternateContent xmlns:mc="http://schemas.openxmlformats.org/markup-compatibility/2006" xmlns:a14="http://schemas.microsoft.com/office/drawing/2010/main">
      <mc:Choice Requires="a14">
        <xdr:graphicFrame macro="">
          <xdr:nvGraphicFramePr>
            <xdr:cNvPr id="5" name="Total Revenue 4">
              <a:extLst>
                <a:ext uri="{FF2B5EF4-FFF2-40B4-BE49-F238E27FC236}">
                  <a16:creationId xmlns:a16="http://schemas.microsoft.com/office/drawing/2014/main" id="{3DC8F5FF-44FC-76D2-CFB6-B394D000E9FF}"/>
                </a:ext>
              </a:extLst>
            </xdr:cNvPr>
            <xdr:cNvGraphicFramePr/>
          </xdr:nvGraphicFramePr>
          <xdr:xfrm>
            <a:off x="0" y="0"/>
            <a:ext cx="0" cy="0"/>
          </xdr:xfrm>
          <a:graphic>
            <a:graphicData uri="http://schemas.microsoft.com/office/drawing/2010/slicer">
              <sle:slicer xmlns:sle="http://schemas.microsoft.com/office/drawing/2010/slicer" name="Total Revenue 4"/>
            </a:graphicData>
          </a:graphic>
        </xdr:graphicFrame>
      </mc:Choice>
      <mc:Fallback xmlns="">
        <xdr:sp macro="" textlink="">
          <xdr:nvSpPr>
            <xdr:cNvPr id="0" name=""/>
            <xdr:cNvSpPr>
              <a:spLocks noTextEdit="1"/>
            </xdr:cNvSpPr>
          </xdr:nvSpPr>
          <xdr:spPr>
            <a:xfrm>
              <a:off x="7074876" y="5668108"/>
              <a:ext cx="1832903" cy="2475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244427</xdr:colOff>
      <xdr:row>32</xdr:row>
      <xdr:rowOff>162951</xdr:rowOff>
    </xdr:from>
    <xdr:to>
      <xdr:col>10</xdr:col>
      <xdr:colOff>1092592</xdr:colOff>
      <xdr:row>47</xdr:row>
      <xdr:rowOff>440</xdr:rowOff>
    </xdr:to>
    <mc:AlternateContent xmlns:mc="http://schemas.openxmlformats.org/markup-compatibility/2006" xmlns:a14="http://schemas.microsoft.com/office/drawing/2010/main">
      <mc:Choice Requires="a14">
        <xdr:graphicFrame macro="">
          <xdr:nvGraphicFramePr>
            <xdr:cNvPr id="6" name="Store Location">
              <a:extLst>
                <a:ext uri="{FF2B5EF4-FFF2-40B4-BE49-F238E27FC236}">
                  <a16:creationId xmlns:a16="http://schemas.microsoft.com/office/drawing/2014/main" id="{BB5E30A9-5551-33AE-FCB3-93D6B1AC515A}"/>
                </a:ext>
              </a:extLst>
            </xdr:cNvPr>
            <xdr:cNvGraphicFramePr/>
          </xdr:nvGraphicFramePr>
          <xdr:xfrm>
            <a:off x="0" y="0"/>
            <a:ext cx="0" cy="0"/>
          </xdr:xfrm>
          <a:graphic>
            <a:graphicData uri="http://schemas.microsoft.com/office/drawing/2010/slicer">
              <sle:slicer xmlns:sle="http://schemas.microsoft.com/office/drawing/2010/slicer" name="Store Location"/>
            </a:graphicData>
          </a:graphic>
        </xdr:graphicFrame>
      </mc:Choice>
      <mc:Fallback xmlns="">
        <xdr:sp macro="" textlink="">
          <xdr:nvSpPr>
            <xdr:cNvPr id="0" name=""/>
            <xdr:cNvSpPr>
              <a:spLocks noTextEdit="1"/>
            </xdr:cNvSpPr>
          </xdr:nvSpPr>
          <xdr:spPr>
            <a:xfrm>
              <a:off x="10370235" y="5790028"/>
              <a:ext cx="1829972" cy="2475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482405</xdr:colOff>
      <xdr:row>32</xdr:row>
      <xdr:rowOff>40445</xdr:rowOff>
    </xdr:from>
    <xdr:to>
      <xdr:col>2</xdr:col>
      <xdr:colOff>781343</xdr:colOff>
      <xdr:row>46</xdr:row>
      <xdr:rowOff>53780</xdr:rowOff>
    </xdr:to>
    <mc:AlternateContent xmlns:mc="http://schemas.openxmlformats.org/markup-compatibility/2006" xmlns:a14="http://schemas.microsoft.com/office/drawing/2010/main">
      <mc:Choice Requires="a14">
        <xdr:graphicFrame macro="">
          <xdr:nvGraphicFramePr>
            <xdr:cNvPr id="7" name="Store Location 1">
              <a:extLst>
                <a:ext uri="{FF2B5EF4-FFF2-40B4-BE49-F238E27FC236}">
                  <a16:creationId xmlns:a16="http://schemas.microsoft.com/office/drawing/2014/main" id="{680446E7-5AA0-217D-B915-A571CE0303C4}"/>
                </a:ext>
              </a:extLst>
            </xdr:cNvPr>
            <xdr:cNvGraphicFramePr/>
          </xdr:nvGraphicFramePr>
          <xdr:xfrm>
            <a:off x="0" y="0"/>
            <a:ext cx="0" cy="0"/>
          </xdr:xfrm>
          <a:graphic>
            <a:graphicData uri="http://schemas.microsoft.com/office/drawing/2010/slicer">
              <sle:slicer xmlns:sle="http://schemas.microsoft.com/office/drawing/2010/slicer" name="Store Location 1"/>
            </a:graphicData>
          </a:graphic>
        </xdr:graphicFrame>
      </mc:Choice>
      <mc:Fallback xmlns="">
        <xdr:sp macro="" textlink="">
          <xdr:nvSpPr>
            <xdr:cNvPr id="0" name=""/>
            <xdr:cNvSpPr>
              <a:spLocks noTextEdit="1"/>
            </xdr:cNvSpPr>
          </xdr:nvSpPr>
          <xdr:spPr>
            <a:xfrm>
              <a:off x="482405" y="5667522"/>
              <a:ext cx="1822938" cy="2475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973015</xdr:colOff>
      <xdr:row>32</xdr:row>
      <xdr:rowOff>41031</xdr:rowOff>
    </xdr:from>
    <xdr:to>
      <xdr:col>4</xdr:col>
      <xdr:colOff>569155</xdr:colOff>
      <xdr:row>46</xdr:row>
      <xdr:rowOff>54366</xdr:rowOff>
    </xdr:to>
    <mc:AlternateContent xmlns:mc="http://schemas.openxmlformats.org/markup-compatibility/2006" xmlns:a14="http://schemas.microsoft.com/office/drawing/2010/main">
      <mc:Choice Requires="a14">
        <xdr:graphicFrame macro="">
          <xdr:nvGraphicFramePr>
            <xdr:cNvPr id="8" name="Total Revenue 5">
              <a:extLst>
                <a:ext uri="{FF2B5EF4-FFF2-40B4-BE49-F238E27FC236}">
                  <a16:creationId xmlns:a16="http://schemas.microsoft.com/office/drawing/2014/main" id="{3B063E92-CF99-2879-61AA-72358A2D79CA}"/>
                </a:ext>
              </a:extLst>
            </xdr:cNvPr>
            <xdr:cNvGraphicFramePr/>
          </xdr:nvGraphicFramePr>
          <xdr:xfrm>
            <a:off x="0" y="0"/>
            <a:ext cx="0" cy="0"/>
          </xdr:xfrm>
          <a:graphic>
            <a:graphicData uri="http://schemas.microsoft.com/office/drawing/2010/slicer">
              <sle:slicer xmlns:sle="http://schemas.microsoft.com/office/drawing/2010/slicer" name="Total Revenue 5"/>
            </a:graphicData>
          </a:graphic>
        </xdr:graphicFrame>
      </mc:Choice>
      <mc:Fallback xmlns="">
        <xdr:sp macro="" textlink="">
          <xdr:nvSpPr>
            <xdr:cNvPr id="0" name=""/>
            <xdr:cNvSpPr>
              <a:spLocks noTextEdit="1"/>
            </xdr:cNvSpPr>
          </xdr:nvSpPr>
          <xdr:spPr>
            <a:xfrm>
              <a:off x="2497015" y="5668108"/>
              <a:ext cx="1838178" cy="2475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16</xdr:row>
      <xdr:rowOff>3810</xdr:rowOff>
    </xdr:from>
    <xdr:to>
      <xdr:col>5</xdr:col>
      <xdr:colOff>350520</xdr:colOff>
      <xdr:row>29</xdr:row>
      <xdr:rowOff>0</xdr:rowOff>
    </xdr:to>
    <xdr:graphicFrame macro="">
      <xdr:nvGraphicFramePr>
        <xdr:cNvPr id="2" name="Chart 1">
          <a:extLst>
            <a:ext uri="{FF2B5EF4-FFF2-40B4-BE49-F238E27FC236}">
              <a16:creationId xmlns:a16="http://schemas.microsoft.com/office/drawing/2014/main" id="{FC31A6CA-47F0-45D6-1084-E878B3B9C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15</xdr:row>
      <xdr:rowOff>167640</xdr:rowOff>
    </xdr:from>
    <xdr:to>
      <xdr:col>10</xdr:col>
      <xdr:colOff>845820</xdr:colOff>
      <xdr:row>32</xdr:row>
      <xdr:rowOff>45720</xdr:rowOff>
    </xdr:to>
    <xdr:graphicFrame macro="">
      <xdr:nvGraphicFramePr>
        <xdr:cNvPr id="7" name="Chart 6">
          <a:extLst>
            <a:ext uri="{FF2B5EF4-FFF2-40B4-BE49-F238E27FC236}">
              <a16:creationId xmlns:a16="http://schemas.microsoft.com/office/drawing/2014/main" id="{8236FC58-D135-9169-7764-978B416AB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576580</xdr:colOff>
      <xdr:row>32</xdr:row>
      <xdr:rowOff>91440</xdr:rowOff>
    </xdr:from>
    <xdr:to>
      <xdr:col>10</xdr:col>
      <xdr:colOff>33020</xdr:colOff>
      <xdr:row>46</xdr:row>
      <xdr:rowOff>104775</xdr:rowOff>
    </xdr:to>
    <mc:AlternateContent xmlns:mc="http://schemas.openxmlformats.org/markup-compatibility/2006" xmlns:a14="http://schemas.microsoft.com/office/drawing/2010/main">
      <mc:Choice Requires="a14">
        <xdr:graphicFrame macro="">
          <xdr:nvGraphicFramePr>
            <xdr:cNvPr id="3" name="Product Type">
              <a:extLst>
                <a:ext uri="{FF2B5EF4-FFF2-40B4-BE49-F238E27FC236}">
                  <a16:creationId xmlns:a16="http://schemas.microsoft.com/office/drawing/2014/main" id="{A898A66B-4519-6F1C-8C07-4D6EC3C28AE8}"/>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6456680" y="5781040"/>
              <a:ext cx="1831340" cy="250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368300</xdr:colOff>
      <xdr:row>29</xdr:row>
      <xdr:rowOff>139700</xdr:rowOff>
    </xdr:from>
    <xdr:to>
      <xdr:col>2</xdr:col>
      <xdr:colOff>340360</xdr:colOff>
      <xdr:row>43</xdr:row>
      <xdr:rowOff>153035</xdr:rowOff>
    </xdr:to>
    <mc:AlternateContent xmlns:mc="http://schemas.openxmlformats.org/markup-compatibility/2006" xmlns:a14="http://schemas.microsoft.com/office/drawing/2010/main">
      <mc:Choice Requires="a14">
        <xdr:graphicFrame macro="">
          <xdr:nvGraphicFramePr>
            <xdr:cNvPr id="5" name="Product Type 1">
              <a:extLst>
                <a:ext uri="{FF2B5EF4-FFF2-40B4-BE49-F238E27FC236}">
                  <a16:creationId xmlns:a16="http://schemas.microsoft.com/office/drawing/2014/main" id="{A0E079D0-FE63-B072-AC19-EF4398BBA608}"/>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368300" y="5295900"/>
              <a:ext cx="1826260" cy="250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736600</xdr:colOff>
      <xdr:row>29</xdr:row>
      <xdr:rowOff>154940</xdr:rowOff>
    </xdr:from>
    <xdr:to>
      <xdr:col>4</xdr:col>
      <xdr:colOff>406400</xdr:colOff>
      <xdr:row>43</xdr:row>
      <xdr:rowOff>168275</xdr:rowOff>
    </xdr:to>
    <mc:AlternateContent xmlns:mc="http://schemas.openxmlformats.org/markup-compatibility/2006" xmlns:a14="http://schemas.microsoft.com/office/drawing/2010/main">
      <mc:Choice Requires="a14">
        <xdr:graphicFrame macro="">
          <xdr:nvGraphicFramePr>
            <xdr:cNvPr id="9" name="Units Sold">
              <a:extLst>
                <a:ext uri="{FF2B5EF4-FFF2-40B4-BE49-F238E27FC236}">
                  <a16:creationId xmlns:a16="http://schemas.microsoft.com/office/drawing/2014/main" id="{5BC5E4F5-7F4F-E040-CF83-A9BE24112CF3}"/>
                </a:ext>
              </a:extLst>
            </xdr:cNvPr>
            <xdr:cNvGraphicFramePr/>
          </xdr:nvGraphicFramePr>
          <xdr:xfrm>
            <a:off x="0" y="0"/>
            <a:ext cx="0" cy="0"/>
          </xdr:xfrm>
          <a:graphic>
            <a:graphicData uri="http://schemas.microsoft.com/office/drawing/2010/slicer">
              <sle:slicer xmlns:sle="http://schemas.microsoft.com/office/drawing/2010/slicer" name="Units Sold"/>
            </a:graphicData>
          </a:graphic>
        </xdr:graphicFrame>
      </mc:Choice>
      <mc:Fallback xmlns="">
        <xdr:sp macro="" textlink="">
          <xdr:nvSpPr>
            <xdr:cNvPr id="0" name=""/>
            <xdr:cNvSpPr>
              <a:spLocks noTextEdit="1"/>
            </xdr:cNvSpPr>
          </xdr:nvSpPr>
          <xdr:spPr>
            <a:xfrm>
              <a:off x="2260600" y="5311140"/>
              <a:ext cx="1828800" cy="250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32</xdr:row>
      <xdr:rowOff>78740</xdr:rowOff>
    </xdr:from>
    <xdr:to>
      <xdr:col>12</xdr:col>
      <xdr:colOff>175260</xdr:colOff>
      <xdr:row>46</xdr:row>
      <xdr:rowOff>92075</xdr:rowOff>
    </xdr:to>
    <mc:AlternateContent xmlns:mc="http://schemas.openxmlformats.org/markup-compatibility/2006" xmlns:a14="http://schemas.microsoft.com/office/drawing/2010/main">
      <mc:Choice Requires="a14">
        <xdr:graphicFrame macro="">
          <xdr:nvGraphicFramePr>
            <xdr:cNvPr id="11" name="Total Revenue 3">
              <a:extLst>
                <a:ext uri="{FF2B5EF4-FFF2-40B4-BE49-F238E27FC236}">
                  <a16:creationId xmlns:a16="http://schemas.microsoft.com/office/drawing/2014/main" id="{49C07B7B-586D-738F-FB36-29E1DF267AA2}"/>
                </a:ext>
              </a:extLst>
            </xdr:cNvPr>
            <xdr:cNvGraphicFramePr/>
          </xdr:nvGraphicFramePr>
          <xdr:xfrm>
            <a:off x="0" y="0"/>
            <a:ext cx="0" cy="0"/>
          </xdr:xfrm>
          <a:graphic>
            <a:graphicData uri="http://schemas.microsoft.com/office/drawing/2010/slicer">
              <sle:slicer xmlns:sle="http://schemas.microsoft.com/office/drawing/2010/slicer" name="Total Revenue 3"/>
            </a:graphicData>
          </a:graphic>
        </xdr:graphicFrame>
      </mc:Choice>
      <mc:Fallback xmlns="">
        <xdr:sp macro="" textlink="">
          <xdr:nvSpPr>
            <xdr:cNvPr id="0" name=""/>
            <xdr:cNvSpPr>
              <a:spLocks noTextEdit="1"/>
            </xdr:cNvSpPr>
          </xdr:nvSpPr>
          <xdr:spPr>
            <a:xfrm>
              <a:off x="8331200" y="5768340"/>
              <a:ext cx="1826260" cy="250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11</xdr:col>
      <xdr:colOff>30480</xdr:colOff>
      <xdr:row>23</xdr:row>
      <xdr:rowOff>53340</xdr:rowOff>
    </xdr:from>
    <xdr:to>
      <xdr:col>16</xdr:col>
      <xdr:colOff>251460</xdr:colOff>
      <xdr:row>37</xdr:row>
      <xdr:rowOff>163830</xdr:rowOff>
    </xdr:to>
    <xdr:graphicFrame macro="">
      <xdr:nvGraphicFramePr>
        <xdr:cNvPr id="2" name="Chart 1">
          <a:extLst>
            <a:ext uri="{FF2B5EF4-FFF2-40B4-BE49-F238E27FC236}">
              <a16:creationId xmlns:a16="http://schemas.microsoft.com/office/drawing/2014/main" id="{AA1848CA-9A35-3753-1BA2-12FF21772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15240</xdr:colOff>
      <xdr:row>18</xdr:row>
      <xdr:rowOff>83820</xdr:rowOff>
    </xdr:from>
    <xdr:to>
      <xdr:col>6</xdr:col>
      <xdr:colOff>15240</xdr:colOff>
      <xdr:row>30</xdr:row>
      <xdr:rowOff>129540</xdr:rowOff>
    </xdr:to>
    <xdr:graphicFrame macro="">
      <xdr:nvGraphicFramePr>
        <xdr:cNvPr id="3" name="Chart 2">
          <a:extLst>
            <a:ext uri="{FF2B5EF4-FFF2-40B4-BE49-F238E27FC236}">
              <a16:creationId xmlns:a16="http://schemas.microsoft.com/office/drawing/2014/main" id="{A23BC50A-0D5B-B7DB-6941-F4858DE12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343535</xdr:colOff>
      <xdr:row>38</xdr:row>
      <xdr:rowOff>95250</xdr:rowOff>
    </xdr:from>
    <xdr:to>
      <xdr:col>15</xdr:col>
      <xdr:colOff>220980</xdr:colOff>
      <xdr:row>52</xdr:row>
      <xdr:rowOff>108585</xdr:rowOff>
    </xdr:to>
    <mc:AlternateContent xmlns:mc="http://schemas.openxmlformats.org/markup-compatibility/2006" xmlns:a14="http://schemas.microsoft.com/office/drawing/2010/main">
      <mc:Choice Requires="a14">
        <xdr:graphicFrame macro="">
          <xdr:nvGraphicFramePr>
            <xdr:cNvPr id="6" name="Total Revenue 1">
              <a:extLst>
                <a:ext uri="{FF2B5EF4-FFF2-40B4-BE49-F238E27FC236}">
                  <a16:creationId xmlns:a16="http://schemas.microsoft.com/office/drawing/2014/main" id="{97D32D8D-3593-872D-1C50-B3AB9697032A}"/>
                </a:ext>
              </a:extLst>
            </xdr:cNvPr>
            <xdr:cNvGraphicFramePr/>
          </xdr:nvGraphicFramePr>
          <xdr:xfrm>
            <a:off x="0" y="0"/>
            <a:ext cx="0" cy="0"/>
          </xdr:xfrm>
          <a:graphic>
            <a:graphicData uri="http://schemas.microsoft.com/office/drawing/2010/slicer">
              <sle:slicer xmlns:sle="http://schemas.microsoft.com/office/drawing/2010/slicer" name="Total Revenue 1"/>
            </a:graphicData>
          </a:graphic>
        </xdr:graphicFrame>
      </mc:Choice>
      <mc:Fallback xmlns="">
        <xdr:sp macro="" textlink="">
          <xdr:nvSpPr>
            <xdr:cNvPr id="0" name=""/>
            <xdr:cNvSpPr>
              <a:spLocks noTextEdit="1"/>
            </xdr:cNvSpPr>
          </xdr:nvSpPr>
          <xdr:spPr>
            <a:xfrm>
              <a:off x="10789285" y="6731000"/>
              <a:ext cx="1830070" cy="2458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313690</xdr:colOff>
      <xdr:row>38</xdr:row>
      <xdr:rowOff>79375</xdr:rowOff>
    </xdr:from>
    <xdr:to>
      <xdr:col>18</xdr:col>
      <xdr:colOff>320675</xdr:colOff>
      <xdr:row>52</xdr:row>
      <xdr:rowOff>92710</xdr:rowOff>
    </xdr:to>
    <mc:AlternateContent xmlns:mc="http://schemas.openxmlformats.org/markup-compatibility/2006" xmlns:a14="http://schemas.microsoft.com/office/drawing/2010/main">
      <mc:Choice Requires="a14">
        <xdr:graphicFrame macro="">
          <xdr:nvGraphicFramePr>
            <xdr:cNvPr id="7" name="Weekday/Weekend">
              <a:extLst>
                <a:ext uri="{FF2B5EF4-FFF2-40B4-BE49-F238E27FC236}">
                  <a16:creationId xmlns:a16="http://schemas.microsoft.com/office/drawing/2014/main" id="{346C3479-A0A5-F07F-AF39-C38EA3FE7298}"/>
                </a:ext>
              </a:extLst>
            </xdr:cNvPr>
            <xdr:cNvGraphicFramePr/>
          </xdr:nvGraphicFramePr>
          <xdr:xfrm>
            <a:off x="0" y="0"/>
            <a:ext cx="0" cy="0"/>
          </xdr:xfrm>
          <a:graphic>
            <a:graphicData uri="http://schemas.microsoft.com/office/drawing/2010/slicer">
              <sle:slicer xmlns:sle="http://schemas.microsoft.com/office/drawing/2010/slicer" name="Weekday/Weekend"/>
            </a:graphicData>
          </a:graphic>
        </xdr:graphicFrame>
      </mc:Choice>
      <mc:Fallback xmlns="">
        <xdr:sp macro="" textlink="">
          <xdr:nvSpPr>
            <xdr:cNvPr id="0" name=""/>
            <xdr:cNvSpPr>
              <a:spLocks noTextEdit="1"/>
            </xdr:cNvSpPr>
          </xdr:nvSpPr>
          <xdr:spPr>
            <a:xfrm>
              <a:off x="12712065" y="6715125"/>
              <a:ext cx="1816735" cy="2458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485775</xdr:colOff>
      <xdr:row>39</xdr:row>
      <xdr:rowOff>17145</xdr:rowOff>
    </xdr:from>
    <xdr:to>
      <xdr:col>5</xdr:col>
      <xdr:colOff>307975</xdr:colOff>
      <xdr:row>53</xdr:row>
      <xdr:rowOff>30480</xdr:rowOff>
    </xdr:to>
    <mc:AlternateContent xmlns:mc="http://schemas.openxmlformats.org/markup-compatibility/2006" xmlns:a14="http://schemas.microsoft.com/office/drawing/2010/main">
      <mc:Choice Requires="a14">
        <xdr:graphicFrame macro="">
          <xdr:nvGraphicFramePr>
            <xdr:cNvPr id="9" name="Total Revenue 2">
              <a:extLst>
                <a:ext uri="{FF2B5EF4-FFF2-40B4-BE49-F238E27FC236}">
                  <a16:creationId xmlns:a16="http://schemas.microsoft.com/office/drawing/2014/main" id="{A60B8A47-50E0-8319-2536-F02FA5C31D1A}"/>
                </a:ext>
              </a:extLst>
            </xdr:cNvPr>
            <xdr:cNvGraphicFramePr/>
          </xdr:nvGraphicFramePr>
          <xdr:xfrm>
            <a:off x="0" y="0"/>
            <a:ext cx="0" cy="0"/>
          </xdr:xfrm>
          <a:graphic>
            <a:graphicData uri="http://schemas.microsoft.com/office/drawing/2010/slicer">
              <sle:slicer xmlns:sle="http://schemas.microsoft.com/office/drawing/2010/slicer" name="Total Revenue 2"/>
            </a:graphicData>
          </a:graphic>
        </xdr:graphicFrame>
      </mc:Choice>
      <mc:Fallback xmlns="">
        <xdr:sp macro="" textlink="">
          <xdr:nvSpPr>
            <xdr:cNvPr id="0" name=""/>
            <xdr:cNvSpPr>
              <a:spLocks noTextEdit="1"/>
            </xdr:cNvSpPr>
          </xdr:nvSpPr>
          <xdr:spPr>
            <a:xfrm>
              <a:off x="2613025" y="6827520"/>
              <a:ext cx="1822450" cy="2458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97790</xdr:colOff>
      <xdr:row>38</xdr:row>
      <xdr:rowOff>161290</xdr:rowOff>
    </xdr:from>
    <xdr:to>
      <xdr:col>3</xdr:col>
      <xdr:colOff>384810</xdr:colOff>
      <xdr:row>53</xdr:row>
      <xdr:rowOff>0</xdr:rowOff>
    </xdr:to>
    <mc:AlternateContent xmlns:mc="http://schemas.openxmlformats.org/markup-compatibility/2006" xmlns:a14="http://schemas.microsoft.com/office/drawing/2010/main">
      <mc:Choice Requires="a14">
        <xdr:graphicFrame macro="">
          <xdr:nvGraphicFramePr>
            <xdr:cNvPr id="10" name="Weekdays">
              <a:extLst>
                <a:ext uri="{FF2B5EF4-FFF2-40B4-BE49-F238E27FC236}">
                  <a16:creationId xmlns:a16="http://schemas.microsoft.com/office/drawing/2014/main" id="{FE961963-5913-E572-B082-1A36EEF29BC3}"/>
                </a:ext>
              </a:extLst>
            </xdr:cNvPr>
            <xdr:cNvGraphicFramePr/>
          </xdr:nvGraphicFramePr>
          <xdr:xfrm>
            <a:off x="0" y="0"/>
            <a:ext cx="0" cy="0"/>
          </xdr:xfrm>
          <a:graphic>
            <a:graphicData uri="http://schemas.microsoft.com/office/drawing/2010/slicer">
              <sle:slicer xmlns:sle="http://schemas.microsoft.com/office/drawing/2010/slicer" name="Weekdays"/>
            </a:graphicData>
          </a:graphic>
        </xdr:graphicFrame>
      </mc:Choice>
      <mc:Fallback xmlns="">
        <xdr:sp macro="" textlink="">
          <xdr:nvSpPr>
            <xdr:cNvPr id="0" name=""/>
            <xdr:cNvSpPr>
              <a:spLocks noTextEdit="1"/>
            </xdr:cNvSpPr>
          </xdr:nvSpPr>
          <xdr:spPr>
            <a:xfrm>
              <a:off x="701040" y="6797040"/>
              <a:ext cx="1811020" cy="2458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65405</xdr:colOff>
      <xdr:row>38</xdr:row>
      <xdr:rowOff>54610</xdr:rowOff>
    </xdr:from>
    <xdr:to>
      <xdr:col>13</xdr:col>
      <xdr:colOff>288925</xdr:colOff>
      <xdr:row>52</xdr:row>
      <xdr:rowOff>67945</xdr:rowOff>
    </xdr:to>
    <mc:AlternateContent xmlns:mc="http://schemas.openxmlformats.org/markup-compatibility/2006" xmlns:a14="http://schemas.microsoft.com/office/drawing/2010/main">
      <mc:Choice Requires="a14">
        <xdr:graphicFrame macro="">
          <xdr:nvGraphicFramePr>
            <xdr:cNvPr id="12" name="Date">
              <a:extLst>
                <a:ext uri="{FF2B5EF4-FFF2-40B4-BE49-F238E27FC236}">
                  <a16:creationId xmlns:a16="http://schemas.microsoft.com/office/drawing/2014/main" id="{2B8B14F9-C38C-C8CA-DBD0-865C7E3F927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8923655" y="6690360"/>
              <a:ext cx="1811020" cy="2458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9</xdr:col>
      <xdr:colOff>31375</xdr:colOff>
      <xdr:row>7</xdr:row>
      <xdr:rowOff>17929</xdr:rowOff>
    </xdr:from>
    <xdr:to>
      <xdr:col>16</xdr:col>
      <xdr:colOff>349623</xdr:colOff>
      <xdr:row>22</xdr:row>
      <xdr:rowOff>107575</xdr:rowOff>
    </xdr:to>
    <xdr:graphicFrame macro="">
      <xdr:nvGraphicFramePr>
        <xdr:cNvPr id="8" name="Chart 7">
          <a:extLst>
            <a:ext uri="{FF2B5EF4-FFF2-40B4-BE49-F238E27FC236}">
              <a16:creationId xmlns:a16="http://schemas.microsoft.com/office/drawing/2014/main" id="{6423A7AA-D568-73C1-AE4C-77AD3ABA3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532205</xdr:colOff>
      <xdr:row>7</xdr:row>
      <xdr:rowOff>53439</xdr:rowOff>
    </xdr:from>
    <xdr:to>
      <xdr:col>22</xdr:col>
      <xdr:colOff>523240</xdr:colOff>
      <xdr:row>20</xdr:row>
      <xdr:rowOff>179630</xdr:rowOff>
    </xdr:to>
    <mc:AlternateContent xmlns:mc="http://schemas.openxmlformats.org/markup-compatibility/2006" xmlns:a14="http://schemas.microsoft.com/office/drawing/2010/main">
      <mc:Choice Requires="a14">
        <xdr:graphicFrame macro="">
          <xdr:nvGraphicFramePr>
            <xdr:cNvPr id="9" name="Total Revenue">
              <a:extLst>
                <a:ext uri="{FF2B5EF4-FFF2-40B4-BE49-F238E27FC236}">
                  <a16:creationId xmlns:a16="http://schemas.microsoft.com/office/drawing/2014/main" id="{84AB0BCE-895A-60A4-E014-C807981BBF2A}"/>
                </a:ext>
              </a:extLst>
            </xdr:cNvPr>
            <xdr:cNvGraphicFramePr/>
          </xdr:nvGraphicFramePr>
          <xdr:xfrm>
            <a:off x="0" y="0"/>
            <a:ext cx="0" cy="0"/>
          </xdr:xfrm>
          <a:graphic>
            <a:graphicData uri="http://schemas.microsoft.com/office/drawing/2010/slicer">
              <sle:slicer xmlns:sle="http://schemas.microsoft.com/office/drawing/2010/slicer" name="Total Revenue"/>
            </a:graphicData>
          </a:graphic>
        </xdr:graphicFrame>
      </mc:Choice>
      <mc:Fallback xmlns="">
        <xdr:sp macro="" textlink="">
          <xdr:nvSpPr>
            <xdr:cNvPr id="0" name=""/>
            <xdr:cNvSpPr>
              <a:spLocks noTextEdit="1"/>
            </xdr:cNvSpPr>
          </xdr:nvSpPr>
          <xdr:spPr>
            <a:xfrm>
              <a:off x="18329138" y="1357306"/>
              <a:ext cx="1819835" cy="2564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415615</xdr:colOff>
      <xdr:row>7</xdr:row>
      <xdr:rowOff>55381</xdr:rowOff>
    </xdr:from>
    <xdr:to>
      <xdr:col>19</xdr:col>
      <xdr:colOff>425575</xdr:colOff>
      <xdr:row>20</xdr:row>
      <xdr:rowOff>181572</xdr:rowOff>
    </xdr:to>
    <mc:AlternateContent xmlns:mc="http://schemas.openxmlformats.org/markup-compatibility/2006" xmlns:a14="http://schemas.microsoft.com/office/drawing/2010/main">
      <mc:Choice Requires="a14">
        <xdr:graphicFrame macro="">
          <xdr:nvGraphicFramePr>
            <xdr:cNvPr id="10" name="customer name">
              <a:extLst>
                <a:ext uri="{FF2B5EF4-FFF2-40B4-BE49-F238E27FC236}">
                  <a16:creationId xmlns:a16="http://schemas.microsoft.com/office/drawing/2014/main" id="{35F3F073-14C2-5385-23DD-60FE5B907952}"/>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6383748" y="1359248"/>
              <a:ext cx="1838760" cy="2564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22861</xdr:colOff>
      <xdr:row>0</xdr:row>
      <xdr:rowOff>38100</xdr:rowOff>
    </xdr:from>
    <xdr:to>
      <xdr:col>35</xdr:col>
      <xdr:colOff>148682</xdr:colOff>
      <xdr:row>5</xdr:row>
      <xdr:rowOff>0</xdr:rowOff>
    </xdr:to>
    <xdr:sp macro="" textlink="">
      <xdr:nvSpPr>
        <xdr:cNvPr id="4" name="Rectangle: Rounded Corners 3">
          <a:extLst>
            <a:ext uri="{FF2B5EF4-FFF2-40B4-BE49-F238E27FC236}">
              <a16:creationId xmlns:a16="http://schemas.microsoft.com/office/drawing/2014/main" id="{7A88FF96-1528-79EB-554F-21983DDCDCA4}"/>
            </a:ext>
          </a:extLst>
        </xdr:cNvPr>
        <xdr:cNvSpPr/>
      </xdr:nvSpPr>
      <xdr:spPr>
        <a:xfrm>
          <a:off x="22861" y="38100"/>
          <a:ext cx="21591919" cy="891168"/>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3200" b="1">
              <a:solidFill>
                <a:schemeClr val="tx1"/>
              </a:solidFill>
              <a:latin typeface="Times New Roman" panose="02020603050405020304" pitchFamily="18" charset="0"/>
              <a:cs typeface="Times New Roman" panose="02020603050405020304" pitchFamily="18" charset="0"/>
            </a:rPr>
            <a:t>Coffee</a:t>
          </a:r>
          <a:r>
            <a:rPr lang="en-IN" sz="3200" b="1" baseline="0">
              <a:solidFill>
                <a:schemeClr val="tx1"/>
              </a:solidFill>
              <a:latin typeface="Times New Roman" panose="02020603050405020304" pitchFamily="18" charset="0"/>
              <a:cs typeface="Times New Roman" panose="02020603050405020304" pitchFamily="18" charset="0"/>
            </a:rPr>
            <a:t> Sales Data</a:t>
          </a:r>
          <a:endParaRPr lang="en-IN" sz="3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6647</xdr:colOff>
      <xdr:row>5</xdr:row>
      <xdr:rowOff>4240</xdr:rowOff>
    </xdr:from>
    <xdr:to>
      <xdr:col>8</xdr:col>
      <xdr:colOff>16212</xdr:colOff>
      <xdr:row>8</xdr:row>
      <xdr:rowOff>74997</xdr:rowOff>
    </xdr:to>
    <xdr:sp macro="" textlink="">
      <xdr:nvSpPr>
        <xdr:cNvPr id="6" name="Rectangle: Rounded Corners 5">
          <a:extLst>
            <a:ext uri="{FF2B5EF4-FFF2-40B4-BE49-F238E27FC236}">
              <a16:creationId xmlns:a16="http://schemas.microsoft.com/office/drawing/2014/main" id="{9111CE48-C1E9-EAAF-1598-5744D97B5644}"/>
            </a:ext>
          </a:extLst>
        </xdr:cNvPr>
        <xdr:cNvSpPr/>
      </xdr:nvSpPr>
      <xdr:spPr>
        <a:xfrm>
          <a:off x="6647" y="929526"/>
          <a:ext cx="4886365" cy="625928"/>
        </a:xfrm>
        <a:prstGeom prst="roundRect">
          <a:avLst/>
        </a:prstGeom>
        <a:ln>
          <a:noFill/>
        </a:ln>
        <a:effectLst>
          <a:outerShdw blurRad="50800" dist="38100" dir="5400000" algn="t"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600" b="1"/>
            <a:t>1. Total Sales (Revenue Overview</a:t>
          </a:r>
          <a:r>
            <a:rPr lang="en-IN" sz="1100"/>
            <a:t>)</a:t>
          </a:r>
        </a:p>
      </xdr:txBody>
    </xdr:sp>
    <xdr:clientData/>
  </xdr:twoCellAnchor>
  <xdr:twoCellAnchor>
    <xdr:from>
      <xdr:col>0</xdr:col>
      <xdr:colOff>0</xdr:colOff>
      <xdr:row>25</xdr:row>
      <xdr:rowOff>18120</xdr:rowOff>
    </xdr:from>
    <xdr:to>
      <xdr:col>8</xdr:col>
      <xdr:colOff>9565</xdr:colOff>
      <xdr:row>28</xdr:row>
      <xdr:rowOff>86699</xdr:rowOff>
    </xdr:to>
    <xdr:sp macro="" textlink="">
      <xdr:nvSpPr>
        <xdr:cNvPr id="9" name="Rectangle: Rounded Corners 8">
          <a:extLst>
            <a:ext uri="{FF2B5EF4-FFF2-40B4-BE49-F238E27FC236}">
              <a16:creationId xmlns:a16="http://schemas.microsoft.com/office/drawing/2014/main" id="{6E7E0C3B-56F6-4916-AF1C-1E4FA734AA23}"/>
            </a:ext>
          </a:extLst>
        </xdr:cNvPr>
        <xdr:cNvSpPr/>
      </xdr:nvSpPr>
      <xdr:spPr>
        <a:xfrm>
          <a:off x="0" y="4523859"/>
          <a:ext cx="4868695" cy="631797"/>
        </a:xfrm>
        <a:prstGeom prst="roundRect">
          <a:avLst/>
        </a:prstGeom>
        <a:ln>
          <a:noFill/>
        </a:ln>
        <a:effectLst>
          <a:outerShdw blurRad="50800" dist="38100" dir="5400000" algn="t"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600" b="1"/>
            <a:t>2. Location-Based Analysis</a:t>
          </a:r>
        </a:p>
      </xdr:txBody>
    </xdr:sp>
    <xdr:clientData/>
  </xdr:twoCellAnchor>
  <xdr:twoCellAnchor>
    <xdr:from>
      <xdr:col>0</xdr:col>
      <xdr:colOff>0</xdr:colOff>
      <xdr:row>48</xdr:row>
      <xdr:rowOff>0</xdr:rowOff>
    </xdr:from>
    <xdr:to>
      <xdr:col>8</xdr:col>
      <xdr:colOff>9565</xdr:colOff>
      <xdr:row>51</xdr:row>
      <xdr:rowOff>64040</xdr:rowOff>
    </xdr:to>
    <xdr:sp macro="" textlink="">
      <xdr:nvSpPr>
        <xdr:cNvPr id="10" name="Rectangle: Rounded Corners 9">
          <a:extLst>
            <a:ext uri="{FF2B5EF4-FFF2-40B4-BE49-F238E27FC236}">
              <a16:creationId xmlns:a16="http://schemas.microsoft.com/office/drawing/2014/main" id="{9CB68820-F21E-418D-ADAB-E0873BCF8696}"/>
            </a:ext>
          </a:extLst>
        </xdr:cNvPr>
        <xdr:cNvSpPr/>
      </xdr:nvSpPr>
      <xdr:spPr>
        <a:xfrm>
          <a:off x="0" y="10424160"/>
          <a:ext cx="4886365" cy="612680"/>
        </a:xfrm>
        <a:prstGeom prst="roundRect">
          <a:avLst/>
        </a:prstGeom>
        <a:ln>
          <a:noFill/>
        </a:ln>
        <a:effectLst>
          <a:outerShdw blurRad="50800" dist="38100" dir="5400000" algn="t"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600" b="1"/>
            <a:t>3. Product Performance</a:t>
          </a:r>
        </a:p>
      </xdr:txBody>
    </xdr:sp>
    <xdr:clientData/>
  </xdr:twoCellAnchor>
  <xdr:twoCellAnchor>
    <xdr:from>
      <xdr:col>0</xdr:col>
      <xdr:colOff>0</xdr:colOff>
      <xdr:row>70</xdr:row>
      <xdr:rowOff>162127</xdr:rowOff>
    </xdr:from>
    <xdr:to>
      <xdr:col>8</xdr:col>
      <xdr:colOff>9565</xdr:colOff>
      <xdr:row>74</xdr:row>
      <xdr:rowOff>47827</xdr:rowOff>
    </xdr:to>
    <xdr:sp macro="" textlink="">
      <xdr:nvSpPr>
        <xdr:cNvPr id="11" name="Rectangle: Rounded Corners 10">
          <a:extLst>
            <a:ext uri="{FF2B5EF4-FFF2-40B4-BE49-F238E27FC236}">
              <a16:creationId xmlns:a16="http://schemas.microsoft.com/office/drawing/2014/main" id="{39938D4E-5CAA-4AEE-BB46-B4DCE694AE55}"/>
            </a:ext>
          </a:extLst>
        </xdr:cNvPr>
        <xdr:cNvSpPr/>
      </xdr:nvSpPr>
      <xdr:spPr>
        <a:xfrm>
          <a:off x="0" y="14609647"/>
          <a:ext cx="4886365" cy="617220"/>
        </a:xfrm>
        <a:prstGeom prst="roundRect">
          <a:avLst/>
        </a:prstGeom>
        <a:ln>
          <a:noFill/>
        </a:ln>
        <a:effectLst>
          <a:outerShdw blurRad="50800" dist="38100" dir="5400000" algn="t"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600" b="1">
              <a:latin typeface="Times New Roman" panose="02020603050405020304" pitchFamily="18" charset="0"/>
              <a:cs typeface="Times New Roman" panose="02020603050405020304" pitchFamily="18" charset="0"/>
            </a:rPr>
            <a:t>4. Time-Based Trends</a:t>
          </a:r>
        </a:p>
      </xdr:txBody>
    </xdr:sp>
    <xdr:clientData/>
  </xdr:twoCellAnchor>
  <xdr:twoCellAnchor>
    <xdr:from>
      <xdr:col>0</xdr:col>
      <xdr:colOff>0</xdr:colOff>
      <xdr:row>93</xdr:row>
      <xdr:rowOff>65517</xdr:rowOff>
    </xdr:from>
    <xdr:to>
      <xdr:col>8</xdr:col>
      <xdr:colOff>9565</xdr:colOff>
      <xdr:row>96</xdr:row>
      <xdr:rowOff>134097</xdr:rowOff>
    </xdr:to>
    <xdr:sp macro="" textlink="">
      <xdr:nvSpPr>
        <xdr:cNvPr id="12" name="Rectangle: Rounded Corners 11">
          <a:extLst>
            <a:ext uri="{FF2B5EF4-FFF2-40B4-BE49-F238E27FC236}">
              <a16:creationId xmlns:a16="http://schemas.microsoft.com/office/drawing/2014/main" id="{AE9D5D34-3465-4A56-B177-F8AF24CCBD2E}"/>
            </a:ext>
          </a:extLst>
        </xdr:cNvPr>
        <xdr:cNvSpPr/>
      </xdr:nvSpPr>
      <xdr:spPr>
        <a:xfrm>
          <a:off x="0" y="17337517"/>
          <a:ext cx="4868695" cy="631797"/>
        </a:xfrm>
        <a:prstGeom prst="roundRect">
          <a:avLst/>
        </a:prstGeom>
        <a:ln>
          <a:noFill/>
        </a:ln>
        <a:effectLst>
          <a:outerShdw blurRad="50800" dist="38100" dir="5400000" algn="t"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600" b="1"/>
            <a:t>5. Customer Insights </a:t>
          </a:r>
        </a:p>
      </xdr:txBody>
    </xdr:sp>
    <xdr:clientData/>
  </xdr:twoCellAnchor>
  <xdr:twoCellAnchor>
    <xdr:from>
      <xdr:col>12</xdr:col>
      <xdr:colOff>483263</xdr:colOff>
      <xdr:row>5</xdr:row>
      <xdr:rowOff>66260</xdr:rowOff>
    </xdr:from>
    <xdr:to>
      <xdr:col>34</xdr:col>
      <xdr:colOff>585305</xdr:colOff>
      <xdr:row>22</xdr:row>
      <xdr:rowOff>177285</xdr:rowOff>
    </xdr:to>
    <xdr:graphicFrame macro="">
      <xdr:nvGraphicFramePr>
        <xdr:cNvPr id="14" name="Chart 13">
          <a:extLst>
            <a:ext uri="{FF2B5EF4-FFF2-40B4-BE49-F238E27FC236}">
              <a16:creationId xmlns:a16="http://schemas.microsoft.com/office/drawing/2014/main" id="{EA96BE8E-D839-4F90-8874-76E14F9A1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0</xdr:rowOff>
    </xdr:from>
    <xdr:to>
      <xdr:col>3</xdr:col>
      <xdr:colOff>0</xdr:colOff>
      <xdr:row>22</xdr:row>
      <xdr:rowOff>89535</xdr:rowOff>
    </xdr:to>
    <mc:AlternateContent xmlns:mc="http://schemas.openxmlformats.org/markup-compatibility/2006" xmlns:a14="http://schemas.microsoft.com/office/drawing/2010/main">
      <mc:Choice Requires="a14">
        <xdr:graphicFrame macro="">
          <xdr:nvGraphicFramePr>
            <xdr:cNvPr id="15" name="Product Type 3">
              <a:extLst>
                <a:ext uri="{FF2B5EF4-FFF2-40B4-BE49-F238E27FC236}">
                  <a16:creationId xmlns:a16="http://schemas.microsoft.com/office/drawing/2014/main" id="{24630163-966D-42AD-9BEE-A7940D14ED7B}"/>
                </a:ext>
              </a:extLst>
            </xdr:cNvPr>
            <xdr:cNvGraphicFramePr/>
          </xdr:nvGraphicFramePr>
          <xdr:xfrm>
            <a:off x="0" y="0"/>
            <a:ext cx="0" cy="0"/>
          </xdr:xfrm>
          <a:graphic>
            <a:graphicData uri="http://schemas.microsoft.com/office/drawing/2010/slicer">
              <sle:slicer xmlns:sle="http://schemas.microsoft.com/office/drawing/2010/slicer" name="Product Type 3"/>
            </a:graphicData>
          </a:graphic>
        </xdr:graphicFrame>
      </mc:Choice>
      <mc:Fallback xmlns="">
        <xdr:sp macro="" textlink="">
          <xdr:nvSpPr>
            <xdr:cNvPr id="0" name=""/>
            <xdr:cNvSpPr>
              <a:spLocks noTextEdit="1"/>
            </xdr:cNvSpPr>
          </xdr:nvSpPr>
          <xdr:spPr>
            <a:xfrm>
              <a:off x="0" y="1714500"/>
              <a:ext cx="1809750" cy="256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37990</xdr:colOff>
      <xdr:row>9</xdr:row>
      <xdr:rowOff>22087</xdr:rowOff>
    </xdr:from>
    <xdr:to>
      <xdr:col>6</xdr:col>
      <xdr:colOff>37990</xdr:colOff>
      <xdr:row>22</xdr:row>
      <xdr:rowOff>111622</xdr:rowOff>
    </xdr:to>
    <mc:AlternateContent xmlns:mc="http://schemas.openxmlformats.org/markup-compatibility/2006" xmlns:a14="http://schemas.microsoft.com/office/drawing/2010/main">
      <mc:Choice Requires="a14">
        <xdr:graphicFrame macro="">
          <xdr:nvGraphicFramePr>
            <xdr:cNvPr id="16" name="Store Location 3">
              <a:extLst>
                <a:ext uri="{FF2B5EF4-FFF2-40B4-BE49-F238E27FC236}">
                  <a16:creationId xmlns:a16="http://schemas.microsoft.com/office/drawing/2014/main" id="{6BA33BE0-AAAC-4582-AE65-78F1FF06FA75}"/>
                </a:ext>
              </a:extLst>
            </xdr:cNvPr>
            <xdr:cNvGraphicFramePr/>
          </xdr:nvGraphicFramePr>
          <xdr:xfrm>
            <a:off x="0" y="0"/>
            <a:ext cx="0" cy="0"/>
          </xdr:xfrm>
          <a:graphic>
            <a:graphicData uri="http://schemas.microsoft.com/office/drawing/2010/slicer">
              <sle:slicer xmlns:sle="http://schemas.microsoft.com/office/drawing/2010/slicer" name="Store Location 3"/>
            </a:graphicData>
          </a:graphic>
        </xdr:graphicFrame>
      </mc:Choice>
      <mc:Fallback xmlns="">
        <xdr:sp macro="" textlink="">
          <xdr:nvSpPr>
            <xdr:cNvPr id="0" name=""/>
            <xdr:cNvSpPr>
              <a:spLocks noTextEdit="1"/>
            </xdr:cNvSpPr>
          </xdr:nvSpPr>
          <xdr:spPr>
            <a:xfrm>
              <a:off x="1847740" y="1736587"/>
              <a:ext cx="1809750" cy="256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77304</xdr:colOff>
      <xdr:row>9</xdr:row>
      <xdr:rowOff>22087</xdr:rowOff>
    </xdr:from>
    <xdr:to>
      <xdr:col>9</xdr:col>
      <xdr:colOff>77304</xdr:colOff>
      <xdr:row>22</xdr:row>
      <xdr:rowOff>111622</xdr:rowOff>
    </xdr:to>
    <mc:AlternateContent xmlns:mc="http://schemas.openxmlformats.org/markup-compatibility/2006" xmlns:a14="http://schemas.microsoft.com/office/drawing/2010/main">
      <mc:Choice Requires="a14">
        <xdr:graphicFrame macro="">
          <xdr:nvGraphicFramePr>
            <xdr:cNvPr id="17" name="Date 2">
              <a:extLst>
                <a:ext uri="{FF2B5EF4-FFF2-40B4-BE49-F238E27FC236}">
                  <a16:creationId xmlns:a16="http://schemas.microsoft.com/office/drawing/2014/main" id="{7E0AA1FB-2E32-409E-8869-EA85F97926D0}"/>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3696804" y="1736587"/>
              <a:ext cx="1809750" cy="256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99391</xdr:colOff>
      <xdr:row>9</xdr:row>
      <xdr:rowOff>33132</xdr:rowOff>
    </xdr:from>
    <xdr:to>
      <xdr:col>12</xdr:col>
      <xdr:colOff>99391</xdr:colOff>
      <xdr:row>22</xdr:row>
      <xdr:rowOff>122667</xdr:rowOff>
    </xdr:to>
    <mc:AlternateContent xmlns:mc="http://schemas.openxmlformats.org/markup-compatibility/2006" xmlns:a14="http://schemas.microsoft.com/office/drawing/2010/main">
      <mc:Choice Requires="a14">
        <xdr:graphicFrame macro="">
          <xdr:nvGraphicFramePr>
            <xdr:cNvPr id="18" name="Total Revenue 7">
              <a:extLst>
                <a:ext uri="{FF2B5EF4-FFF2-40B4-BE49-F238E27FC236}">
                  <a16:creationId xmlns:a16="http://schemas.microsoft.com/office/drawing/2014/main" id="{3B9C7F38-570D-4038-B4AD-74DC6C9D0D54}"/>
                </a:ext>
              </a:extLst>
            </xdr:cNvPr>
            <xdr:cNvGraphicFramePr/>
          </xdr:nvGraphicFramePr>
          <xdr:xfrm>
            <a:off x="0" y="0"/>
            <a:ext cx="0" cy="0"/>
          </xdr:xfrm>
          <a:graphic>
            <a:graphicData uri="http://schemas.microsoft.com/office/drawing/2010/slicer">
              <sle:slicer xmlns:sle="http://schemas.microsoft.com/office/drawing/2010/slicer" name="Total Revenue 7"/>
            </a:graphicData>
          </a:graphic>
        </xdr:graphicFrame>
      </mc:Choice>
      <mc:Fallback xmlns="">
        <xdr:sp macro="" textlink="">
          <xdr:nvSpPr>
            <xdr:cNvPr id="0" name=""/>
            <xdr:cNvSpPr>
              <a:spLocks noTextEdit="1"/>
            </xdr:cNvSpPr>
          </xdr:nvSpPr>
          <xdr:spPr>
            <a:xfrm>
              <a:off x="5528641" y="1747632"/>
              <a:ext cx="1809750" cy="256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552173</xdr:colOff>
      <xdr:row>31</xdr:row>
      <xdr:rowOff>176697</xdr:rowOff>
    </xdr:from>
    <xdr:to>
      <xdr:col>3</xdr:col>
      <xdr:colOff>552937</xdr:colOff>
      <xdr:row>45</xdr:row>
      <xdr:rowOff>23530</xdr:rowOff>
    </xdr:to>
    <mc:AlternateContent xmlns:mc="http://schemas.openxmlformats.org/markup-compatibility/2006" xmlns:a14="http://schemas.microsoft.com/office/drawing/2010/main">
      <mc:Choice Requires="a14">
        <xdr:graphicFrame macro="">
          <xdr:nvGraphicFramePr>
            <xdr:cNvPr id="19" name="Store Location 4">
              <a:extLst>
                <a:ext uri="{FF2B5EF4-FFF2-40B4-BE49-F238E27FC236}">
                  <a16:creationId xmlns:a16="http://schemas.microsoft.com/office/drawing/2014/main" id="{966329A1-C75F-475D-A2BE-5267C1325827}"/>
                </a:ext>
              </a:extLst>
            </xdr:cNvPr>
            <xdr:cNvGraphicFramePr/>
          </xdr:nvGraphicFramePr>
          <xdr:xfrm>
            <a:off x="0" y="0"/>
            <a:ext cx="0" cy="0"/>
          </xdr:xfrm>
          <a:graphic>
            <a:graphicData uri="http://schemas.microsoft.com/office/drawing/2010/slicer">
              <sle:slicer xmlns:sle="http://schemas.microsoft.com/office/drawing/2010/slicer" name="Store Location 4"/>
            </a:graphicData>
          </a:graphic>
        </xdr:graphicFrame>
      </mc:Choice>
      <mc:Fallback xmlns="">
        <xdr:sp macro="" textlink="">
          <xdr:nvSpPr>
            <xdr:cNvPr id="0" name=""/>
            <xdr:cNvSpPr>
              <a:spLocks noTextEdit="1"/>
            </xdr:cNvSpPr>
          </xdr:nvSpPr>
          <xdr:spPr>
            <a:xfrm>
              <a:off x="552173" y="6082197"/>
              <a:ext cx="1810514" cy="2513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31</xdr:row>
      <xdr:rowOff>176697</xdr:rowOff>
    </xdr:from>
    <xdr:to>
      <xdr:col>7</xdr:col>
      <xdr:colOff>16004</xdr:colOff>
      <xdr:row>45</xdr:row>
      <xdr:rowOff>23530</xdr:rowOff>
    </xdr:to>
    <mc:AlternateContent xmlns:mc="http://schemas.openxmlformats.org/markup-compatibility/2006" xmlns:a14="http://schemas.microsoft.com/office/drawing/2010/main">
      <mc:Choice Requires="a14">
        <xdr:graphicFrame macro="">
          <xdr:nvGraphicFramePr>
            <xdr:cNvPr id="20" name="Total Revenue 8">
              <a:extLst>
                <a:ext uri="{FF2B5EF4-FFF2-40B4-BE49-F238E27FC236}">
                  <a16:creationId xmlns:a16="http://schemas.microsoft.com/office/drawing/2014/main" id="{E0A4FA64-2318-4941-9ECE-CD70623CD9F4}"/>
                </a:ext>
              </a:extLst>
            </xdr:cNvPr>
            <xdr:cNvGraphicFramePr/>
          </xdr:nvGraphicFramePr>
          <xdr:xfrm>
            <a:off x="0" y="0"/>
            <a:ext cx="0" cy="0"/>
          </xdr:xfrm>
          <a:graphic>
            <a:graphicData uri="http://schemas.microsoft.com/office/drawing/2010/slicer">
              <sle:slicer xmlns:sle="http://schemas.microsoft.com/office/drawing/2010/slicer" name="Total Revenue 8"/>
            </a:graphicData>
          </a:graphic>
        </xdr:graphicFrame>
      </mc:Choice>
      <mc:Fallback xmlns="">
        <xdr:sp macro="" textlink="">
          <xdr:nvSpPr>
            <xdr:cNvPr id="0" name=""/>
            <xdr:cNvSpPr>
              <a:spLocks noTextEdit="1"/>
            </xdr:cNvSpPr>
          </xdr:nvSpPr>
          <xdr:spPr>
            <a:xfrm>
              <a:off x="2413000" y="6082197"/>
              <a:ext cx="1825754" cy="2513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375478</xdr:colOff>
      <xdr:row>31</xdr:row>
      <xdr:rowOff>143566</xdr:rowOff>
    </xdr:from>
    <xdr:to>
      <xdr:col>15</xdr:col>
      <xdr:colOff>430695</xdr:colOff>
      <xdr:row>44</xdr:row>
      <xdr:rowOff>110435</xdr:rowOff>
    </xdr:to>
    <xdr:graphicFrame macro="">
      <xdr:nvGraphicFramePr>
        <xdr:cNvPr id="21" name="Chart 20">
          <a:extLst>
            <a:ext uri="{FF2B5EF4-FFF2-40B4-BE49-F238E27FC236}">
              <a16:creationId xmlns:a16="http://schemas.microsoft.com/office/drawing/2014/main" id="{69224384-3B1D-424A-8F9D-B9A52288E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563217</xdr:colOff>
      <xdr:row>31</xdr:row>
      <xdr:rowOff>176696</xdr:rowOff>
    </xdr:from>
    <xdr:to>
      <xdr:col>19</xdr:col>
      <xdr:colOff>571015</xdr:colOff>
      <xdr:row>44</xdr:row>
      <xdr:rowOff>154609</xdr:rowOff>
    </xdr:to>
    <mc:AlternateContent xmlns:mc="http://schemas.openxmlformats.org/markup-compatibility/2006" xmlns:a14="http://schemas.microsoft.com/office/drawing/2010/main">
      <mc:Choice Requires="a14">
        <xdr:graphicFrame macro="">
          <xdr:nvGraphicFramePr>
            <xdr:cNvPr id="22" name="Store Location 5">
              <a:extLst>
                <a:ext uri="{FF2B5EF4-FFF2-40B4-BE49-F238E27FC236}">
                  <a16:creationId xmlns:a16="http://schemas.microsoft.com/office/drawing/2014/main" id="{F0572A95-6825-466F-A0A4-5437B428CCAD}"/>
                </a:ext>
              </a:extLst>
            </xdr:cNvPr>
            <xdr:cNvGraphicFramePr/>
          </xdr:nvGraphicFramePr>
          <xdr:xfrm>
            <a:off x="0" y="0"/>
            <a:ext cx="0" cy="0"/>
          </xdr:xfrm>
          <a:graphic>
            <a:graphicData uri="http://schemas.microsoft.com/office/drawing/2010/slicer">
              <sle:slicer xmlns:sle="http://schemas.microsoft.com/office/drawing/2010/slicer" name="Store Location 5"/>
            </a:graphicData>
          </a:graphic>
        </xdr:graphicFrame>
      </mc:Choice>
      <mc:Fallback xmlns="">
        <xdr:sp macro="" textlink="">
          <xdr:nvSpPr>
            <xdr:cNvPr id="0" name=""/>
            <xdr:cNvSpPr>
              <a:spLocks noTextEdit="1"/>
            </xdr:cNvSpPr>
          </xdr:nvSpPr>
          <xdr:spPr>
            <a:xfrm>
              <a:off x="10215217" y="6082196"/>
              <a:ext cx="1817548" cy="2454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32</xdr:row>
      <xdr:rowOff>1</xdr:rowOff>
    </xdr:from>
    <xdr:to>
      <xdr:col>23</xdr:col>
      <xdr:colOff>6040</xdr:colOff>
      <xdr:row>44</xdr:row>
      <xdr:rowOff>165653</xdr:rowOff>
    </xdr:to>
    <mc:AlternateContent xmlns:mc="http://schemas.openxmlformats.org/markup-compatibility/2006" xmlns:a14="http://schemas.microsoft.com/office/drawing/2010/main">
      <mc:Choice Requires="a14">
        <xdr:graphicFrame macro="">
          <xdr:nvGraphicFramePr>
            <xdr:cNvPr id="23" name="Units Sold 2">
              <a:extLst>
                <a:ext uri="{FF2B5EF4-FFF2-40B4-BE49-F238E27FC236}">
                  <a16:creationId xmlns:a16="http://schemas.microsoft.com/office/drawing/2014/main" id="{ED5A4750-EBDE-405B-A7E8-5ADE79DC7E10}"/>
                </a:ext>
              </a:extLst>
            </xdr:cNvPr>
            <xdr:cNvGraphicFramePr/>
          </xdr:nvGraphicFramePr>
          <xdr:xfrm>
            <a:off x="0" y="0"/>
            <a:ext cx="0" cy="0"/>
          </xdr:xfrm>
          <a:graphic>
            <a:graphicData uri="http://schemas.microsoft.com/office/drawing/2010/slicer">
              <sle:slicer xmlns:sle="http://schemas.microsoft.com/office/drawing/2010/slicer" name="Units Sold 2"/>
            </a:graphicData>
          </a:graphic>
        </xdr:graphicFrame>
      </mc:Choice>
      <mc:Fallback xmlns="">
        <xdr:sp macro="" textlink="">
          <xdr:nvSpPr>
            <xdr:cNvPr id="0" name=""/>
            <xdr:cNvSpPr>
              <a:spLocks noTextEdit="1"/>
            </xdr:cNvSpPr>
          </xdr:nvSpPr>
          <xdr:spPr>
            <a:xfrm>
              <a:off x="12065000" y="6096001"/>
              <a:ext cx="1815790" cy="2451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596348</xdr:colOff>
      <xdr:row>31</xdr:row>
      <xdr:rowOff>165653</xdr:rowOff>
    </xdr:from>
    <xdr:to>
      <xdr:col>25</xdr:col>
      <xdr:colOff>607077</xdr:colOff>
      <xdr:row>45</xdr:row>
      <xdr:rowOff>12486</xdr:rowOff>
    </xdr:to>
    <mc:AlternateContent xmlns:mc="http://schemas.openxmlformats.org/markup-compatibility/2006" xmlns:a14="http://schemas.microsoft.com/office/drawing/2010/main">
      <mc:Choice Requires="a14">
        <xdr:graphicFrame macro="">
          <xdr:nvGraphicFramePr>
            <xdr:cNvPr id="24" name="Total Revenue 9">
              <a:extLst>
                <a:ext uri="{FF2B5EF4-FFF2-40B4-BE49-F238E27FC236}">
                  <a16:creationId xmlns:a16="http://schemas.microsoft.com/office/drawing/2014/main" id="{D9BF8A76-686E-45F6-930C-DD648EE022CA}"/>
                </a:ext>
              </a:extLst>
            </xdr:cNvPr>
            <xdr:cNvGraphicFramePr/>
          </xdr:nvGraphicFramePr>
          <xdr:xfrm>
            <a:off x="0" y="0"/>
            <a:ext cx="0" cy="0"/>
          </xdr:xfrm>
          <a:graphic>
            <a:graphicData uri="http://schemas.microsoft.com/office/drawing/2010/slicer">
              <sle:slicer xmlns:sle="http://schemas.microsoft.com/office/drawing/2010/slicer" name="Total Revenue 9"/>
            </a:graphicData>
          </a:graphic>
        </xdr:graphicFrame>
      </mc:Choice>
      <mc:Fallback xmlns="">
        <xdr:sp macro="" textlink="">
          <xdr:nvSpPr>
            <xdr:cNvPr id="0" name=""/>
            <xdr:cNvSpPr>
              <a:spLocks noTextEdit="1"/>
            </xdr:cNvSpPr>
          </xdr:nvSpPr>
          <xdr:spPr>
            <a:xfrm>
              <a:off x="13867848" y="6071153"/>
              <a:ext cx="1820479" cy="2513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386522</xdr:colOff>
      <xdr:row>30</xdr:row>
      <xdr:rowOff>55217</xdr:rowOff>
    </xdr:from>
    <xdr:to>
      <xdr:col>33</xdr:col>
      <xdr:colOff>0</xdr:colOff>
      <xdr:row>44</xdr:row>
      <xdr:rowOff>141867</xdr:rowOff>
    </xdr:to>
    <xdr:graphicFrame macro="">
      <xdr:nvGraphicFramePr>
        <xdr:cNvPr id="25" name="Chart 24">
          <a:extLst>
            <a:ext uri="{FF2B5EF4-FFF2-40B4-BE49-F238E27FC236}">
              <a16:creationId xmlns:a16="http://schemas.microsoft.com/office/drawing/2014/main" id="{08B9272D-613D-4219-8CB2-8489645FD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585304</xdr:colOff>
      <xdr:row>54</xdr:row>
      <xdr:rowOff>1</xdr:rowOff>
    </xdr:from>
    <xdr:to>
      <xdr:col>3</xdr:col>
      <xdr:colOff>591930</xdr:colOff>
      <xdr:row>67</xdr:row>
      <xdr:rowOff>26367</xdr:rowOff>
    </xdr:to>
    <mc:AlternateContent xmlns:mc="http://schemas.openxmlformats.org/markup-compatibility/2006" xmlns:a14="http://schemas.microsoft.com/office/drawing/2010/main">
      <mc:Choice Requires="a14">
        <xdr:graphicFrame macro="">
          <xdr:nvGraphicFramePr>
            <xdr:cNvPr id="26" name="Product Type 4">
              <a:extLst>
                <a:ext uri="{FF2B5EF4-FFF2-40B4-BE49-F238E27FC236}">
                  <a16:creationId xmlns:a16="http://schemas.microsoft.com/office/drawing/2014/main" id="{C3B12666-C54A-4389-BD22-C433B6FFCE8A}"/>
                </a:ext>
              </a:extLst>
            </xdr:cNvPr>
            <xdr:cNvGraphicFramePr/>
          </xdr:nvGraphicFramePr>
          <xdr:xfrm>
            <a:off x="0" y="0"/>
            <a:ext cx="0" cy="0"/>
          </xdr:xfrm>
          <a:graphic>
            <a:graphicData uri="http://schemas.microsoft.com/office/drawing/2010/slicer">
              <sle:slicer xmlns:sle="http://schemas.microsoft.com/office/drawing/2010/slicer" name="Product Type 4"/>
            </a:graphicData>
          </a:graphic>
        </xdr:graphicFrame>
      </mc:Choice>
      <mc:Fallback xmlns="">
        <xdr:sp macro="" textlink="">
          <xdr:nvSpPr>
            <xdr:cNvPr id="0" name=""/>
            <xdr:cNvSpPr>
              <a:spLocks noTextEdit="1"/>
            </xdr:cNvSpPr>
          </xdr:nvSpPr>
          <xdr:spPr>
            <a:xfrm>
              <a:off x="585304" y="10287001"/>
              <a:ext cx="1816376" cy="2502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54</xdr:row>
      <xdr:rowOff>1</xdr:rowOff>
    </xdr:from>
    <xdr:to>
      <xdr:col>7</xdr:col>
      <xdr:colOff>6040</xdr:colOff>
      <xdr:row>67</xdr:row>
      <xdr:rowOff>22086</xdr:rowOff>
    </xdr:to>
    <mc:AlternateContent xmlns:mc="http://schemas.openxmlformats.org/markup-compatibility/2006" xmlns:a14="http://schemas.microsoft.com/office/drawing/2010/main">
      <mc:Choice Requires="a14">
        <xdr:graphicFrame macro="">
          <xdr:nvGraphicFramePr>
            <xdr:cNvPr id="28" name="Units Sold 3">
              <a:extLst>
                <a:ext uri="{FF2B5EF4-FFF2-40B4-BE49-F238E27FC236}">
                  <a16:creationId xmlns:a16="http://schemas.microsoft.com/office/drawing/2014/main" id="{4BC34FA8-5B8F-458F-A1C7-CE1278579F4A}"/>
                </a:ext>
              </a:extLst>
            </xdr:cNvPr>
            <xdr:cNvGraphicFramePr/>
          </xdr:nvGraphicFramePr>
          <xdr:xfrm>
            <a:off x="0" y="0"/>
            <a:ext cx="0" cy="0"/>
          </xdr:xfrm>
          <a:graphic>
            <a:graphicData uri="http://schemas.microsoft.com/office/drawing/2010/slicer">
              <sle:slicer xmlns:sle="http://schemas.microsoft.com/office/drawing/2010/slicer" name="Units Sold 3"/>
            </a:graphicData>
          </a:graphic>
        </xdr:graphicFrame>
      </mc:Choice>
      <mc:Fallback xmlns="">
        <xdr:sp macro="" textlink="">
          <xdr:nvSpPr>
            <xdr:cNvPr id="0" name=""/>
            <xdr:cNvSpPr>
              <a:spLocks noTextEdit="1"/>
            </xdr:cNvSpPr>
          </xdr:nvSpPr>
          <xdr:spPr>
            <a:xfrm>
              <a:off x="2413000" y="10287001"/>
              <a:ext cx="1815790" cy="2498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585303</xdr:colOff>
      <xdr:row>52</xdr:row>
      <xdr:rowOff>11043</xdr:rowOff>
    </xdr:from>
    <xdr:to>
      <xdr:col>14</xdr:col>
      <xdr:colOff>419651</xdr:colOff>
      <xdr:row>66</xdr:row>
      <xdr:rowOff>165653</xdr:rowOff>
    </xdr:to>
    <xdr:graphicFrame macro="">
      <xdr:nvGraphicFramePr>
        <xdr:cNvPr id="29" name="Chart 28">
          <a:extLst>
            <a:ext uri="{FF2B5EF4-FFF2-40B4-BE49-F238E27FC236}">
              <a16:creationId xmlns:a16="http://schemas.microsoft.com/office/drawing/2014/main" id="{8FBFE938-F9E4-49D0-B659-FE34312B0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0</xdr:colOff>
      <xdr:row>54</xdr:row>
      <xdr:rowOff>0</xdr:rowOff>
    </xdr:from>
    <xdr:to>
      <xdr:col>19</xdr:col>
      <xdr:colOff>6626</xdr:colOff>
      <xdr:row>67</xdr:row>
      <xdr:rowOff>26366</xdr:rowOff>
    </xdr:to>
    <mc:AlternateContent xmlns:mc="http://schemas.openxmlformats.org/markup-compatibility/2006" xmlns:a14="http://schemas.microsoft.com/office/drawing/2010/main">
      <mc:Choice Requires="a14">
        <xdr:graphicFrame macro="">
          <xdr:nvGraphicFramePr>
            <xdr:cNvPr id="30" name="Product Type 5">
              <a:extLst>
                <a:ext uri="{FF2B5EF4-FFF2-40B4-BE49-F238E27FC236}">
                  <a16:creationId xmlns:a16="http://schemas.microsoft.com/office/drawing/2014/main" id="{453C5D94-9F09-457C-A035-BA398B708828}"/>
                </a:ext>
              </a:extLst>
            </xdr:cNvPr>
            <xdr:cNvGraphicFramePr/>
          </xdr:nvGraphicFramePr>
          <xdr:xfrm>
            <a:off x="0" y="0"/>
            <a:ext cx="0" cy="0"/>
          </xdr:xfrm>
          <a:graphic>
            <a:graphicData uri="http://schemas.microsoft.com/office/drawing/2010/slicer">
              <sle:slicer xmlns:sle="http://schemas.microsoft.com/office/drawing/2010/slicer" name="Product Type 5"/>
            </a:graphicData>
          </a:graphic>
        </xdr:graphicFrame>
      </mc:Choice>
      <mc:Fallback xmlns="">
        <xdr:sp macro="" textlink="">
          <xdr:nvSpPr>
            <xdr:cNvPr id="0" name=""/>
            <xdr:cNvSpPr>
              <a:spLocks noTextEdit="1"/>
            </xdr:cNvSpPr>
          </xdr:nvSpPr>
          <xdr:spPr>
            <a:xfrm>
              <a:off x="9652000" y="10287000"/>
              <a:ext cx="1816376" cy="2502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54</xdr:row>
      <xdr:rowOff>0</xdr:rowOff>
    </xdr:from>
    <xdr:to>
      <xdr:col>22</xdr:col>
      <xdr:colOff>10729</xdr:colOff>
      <xdr:row>67</xdr:row>
      <xdr:rowOff>34572</xdr:rowOff>
    </xdr:to>
    <mc:AlternateContent xmlns:mc="http://schemas.openxmlformats.org/markup-compatibility/2006" xmlns:a14="http://schemas.microsoft.com/office/drawing/2010/main">
      <mc:Choice Requires="a14">
        <xdr:graphicFrame macro="">
          <xdr:nvGraphicFramePr>
            <xdr:cNvPr id="31" name="Total Revenue 10">
              <a:extLst>
                <a:ext uri="{FF2B5EF4-FFF2-40B4-BE49-F238E27FC236}">
                  <a16:creationId xmlns:a16="http://schemas.microsoft.com/office/drawing/2014/main" id="{4D94474A-E98F-4DD0-A4E5-7E5EF64C9A70}"/>
                </a:ext>
              </a:extLst>
            </xdr:cNvPr>
            <xdr:cNvGraphicFramePr/>
          </xdr:nvGraphicFramePr>
          <xdr:xfrm>
            <a:off x="0" y="0"/>
            <a:ext cx="0" cy="0"/>
          </xdr:xfrm>
          <a:graphic>
            <a:graphicData uri="http://schemas.microsoft.com/office/drawing/2010/slicer">
              <sle:slicer xmlns:sle="http://schemas.microsoft.com/office/drawing/2010/slicer" name="Total Revenue 10"/>
            </a:graphicData>
          </a:graphic>
        </xdr:graphicFrame>
      </mc:Choice>
      <mc:Fallback xmlns="">
        <xdr:sp macro="" textlink="">
          <xdr:nvSpPr>
            <xdr:cNvPr id="0" name=""/>
            <xdr:cNvSpPr>
              <a:spLocks noTextEdit="1"/>
            </xdr:cNvSpPr>
          </xdr:nvSpPr>
          <xdr:spPr>
            <a:xfrm>
              <a:off x="11461750" y="10287000"/>
              <a:ext cx="1820479" cy="2511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496956</xdr:colOff>
      <xdr:row>52</xdr:row>
      <xdr:rowOff>0</xdr:rowOff>
    </xdr:from>
    <xdr:to>
      <xdr:col>32</xdr:col>
      <xdr:colOff>265043</xdr:colOff>
      <xdr:row>68</xdr:row>
      <xdr:rowOff>0</xdr:rowOff>
    </xdr:to>
    <xdr:graphicFrame macro="">
      <xdr:nvGraphicFramePr>
        <xdr:cNvPr id="32" name="Chart 31">
          <a:extLst>
            <a:ext uri="{FF2B5EF4-FFF2-40B4-BE49-F238E27FC236}">
              <a16:creationId xmlns:a16="http://schemas.microsoft.com/office/drawing/2014/main" id="{814AC3DF-09A2-483D-B47A-1DEA35D74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77</xdr:row>
      <xdr:rowOff>0</xdr:rowOff>
    </xdr:from>
    <xdr:to>
      <xdr:col>3</xdr:col>
      <xdr:colOff>596237</xdr:colOff>
      <xdr:row>90</xdr:row>
      <xdr:rowOff>17476</xdr:rowOff>
    </xdr:to>
    <mc:AlternateContent xmlns:mc="http://schemas.openxmlformats.org/markup-compatibility/2006" xmlns:a14="http://schemas.microsoft.com/office/drawing/2010/main">
      <mc:Choice Requires="a14">
        <xdr:graphicFrame macro="">
          <xdr:nvGraphicFramePr>
            <xdr:cNvPr id="33" name="Weekdays 1">
              <a:extLst>
                <a:ext uri="{FF2B5EF4-FFF2-40B4-BE49-F238E27FC236}">
                  <a16:creationId xmlns:a16="http://schemas.microsoft.com/office/drawing/2014/main" id="{EE8E5985-9FC5-405E-80DF-1C56CE7088C0}"/>
                </a:ext>
              </a:extLst>
            </xdr:cNvPr>
            <xdr:cNvGraphicFramePr/>
          </xdr:nvGraphicFramePr>
          <xdr:xfrm>
            <a:off x="0" y="0"/>
            <a:ext cx="0" cy="0"/>
          </xdr:xfrm>
          <a:graphic>
            <a:graphicData uri="http://schemas.microsoft.com/office/drawing/2010/slicer">
              <sle:slicer xmlns:sle="http://schemas.microsoft.com/office/drawing/2010/slicer" name="Weekdays 1"/>
            </a:graphicData>
          </a:graphic>
        </xdr:graphicFrame>
      </mc:Choice>
      <mc:Fallback xmlns="">
        <xdr:sp macro="" textlink="">
          <xdr:nvSpPr>
            <xdr:cNvPr id="0" name=""/>
            <xdr:cNvSpPr>
              <a:spLocks noTextEdit="1"/>
            </xdr:cNvSpPr>
          </xdr:nvSpPr>
          <xdr:spPr>
            <a:xfrm>
              <a:off x="603250" y="14668500"/>
              <a:ext cx="1802737" cy="2493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76</xdr:row>
      <xdr:rowOff>176696</xdr:rowOff>
    </xdr:from>
    <xdr:to>
      <xdr:col>7</xdr:col>
      <xdr:colOff>10729</xdr:colOff>
      <xdr:row>90</xdr:row>
      <xdr:rowOff>23529</xdr:rowOff>
    </xdr:to>
    <mc:AlternateContent xmlns:mc="http://schemas.openxmlformats.org/markup-compatibility/2006" xmlns:a14="http://schemas.microsoft.com/office/drawing/2010/main">
      <mc:Choice Requires="a14">
        <xdr:graphicFrame macro="">
          <xdr:nvGraphicFramePr>
            <xdr:cNvPr id="34" name="Total Revenue 11">
              <a:extLst>
                <a:ext uri="{FF2B5EF4-FFF2-40B4-BE49-F238E27FC236}">
                  <a16:creationId xmlns:a16="http://schemas.microsoft.com/office/drawing/2014/main" id="{8F673C97-2DE1-44AD-8BC8-CA93D29F58A0}"/>
                </a:ext>
              </a:extLst>
            </xdr:cNvPr>
            <xdr:cNvGraphicFramePr/>
          </xdr:nvGraphicFramePr>
          <xdr:xfrm>
            <a:off x="0" y="0"/>
            <a:ext cx="0" cy="0"/>
          </xdr:xfrm>
          <a:graphic>
            <a:graphicData uri="http://schemas.microsoft.com/office/drawing/2010/slicer">
              <sle:slicer xmlns:sle="http://schemas.microsoft.com/office/drawing/2010/slicer" name="Total Revenue 11"/>
            </a:graphicData>
          </a:graphic>
        </xdr:graphicFrame>
      </mc:Choice>
      <mc:Fallback xmlns="">
        <xdr:sp macro="" textlink="">
          <xdr:nvSpPr>
            <xdr:cNvPr id="0" name=""/>
            <xdr:cNvSpPr>
              <a:spLocks noTextEdit="1"/>
            </xdr:cNvSpPr>
          </xdr:nvSpPr>
          <xdr:spPr>
            <a:xfrm>
              <a:off x="2413000" y="14654696"/>
              <a:ext cx="1820479" cy="2513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75</xdr:row>
      <xdr:rowOff>22087</xdr:rowOff>
    </xdr:from>
    <xdr:to>
      <xdr:col>16</xdr:col>
      <xdr:colOff>187739</xdr:colOff>
      <xdr:row>89</xdr:row>
      <xdr:rowOff>165652</xdr:rowOff>
    </xdr:to>
    <xdr:graphicFrame macro="">
      <xdr:nvGraphicFramePr>
        <xdr:cNvPr id="35" name="Chart 34">
          <a:extLst>
            <a:ext uri="{FF2B5EF4-FFF2-40B4-BE49-F238E27FC236}">
              <a16:creationId xmlns:a16="http://schemas.microsoft.com/office/drawing/2014/main" id="{EFBE3801-EC41-4F83-A1A7-FD570C324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0</xdr:colOff>
      <xdr:row>76</xdr:row>
      <xdr:rowOff>0</xdr:rowOff>
    </xdr:from>
    <xdr:to>
      <xdr:col>20</xdr:col>
      <xdr:colOff>596237</xdr:colOff>
      <xdr:row>89</xdr:row>
      <xdr:rowOff>17476</xdr:rowOff>
    </xdr:to>
    <mc:AlternateContent xmlns:mc="http://schemas.openxmlformats.org/markup-compatibility/2006" xmlns:a14="http://schemas.microsoft.com/office/drawing/2010/main">
      <mc:Choice Requires="a14">
        <xdr:graphicFrame macro="">
          <xdr:nvGraphicFramePr>
            <xdr:cNvPr id="36" name="Date 3">
              <a:extLst>
                <a:ext uri="{FF2B5EF4-FFF2-40B4-BE49-F238E27FC236}">
                  <a16:creationId xmlns:a16="http://schemas.microsoft.com/office/drawing/2014/main" id="{D446B319-FCBC-419C-9301-3CF06F63B736}"/>
                </a:ext>
              </a:extLst>
            </xdr:cNvPr>
            <xdr:cNvGraphicFramePr/>
          </xdr:nvGraphicFramePr>
          <xdr:xfrm>
            <a:off x="0" y="0"/>
            <a:ext cx="0" cy="0"/>
          </xdr:xfrm>
          <a:graphic>
            <a:graphicData uri="http://schemas.microsoft.com/office/drawing/2010/slicer">
              <sle:slicer xmlns:sle="http://schemas.microsoft.com/office/drawing/2010/slicer" name="Date 3"/>
            </a:graphicData>
          </a:graphic>
        </xdr:graphicFrame>
      </mc:Choice>
      <mc:Fallback xmlns="">
        <xdr:sp macro="" textlink="">
          <xdr:nvSpPr>
            <xdr:cNvPr id="0" name=""/>
            <xdr:cNvSpPr>
              <a:spLocks noTextEdit="1"/>
            </xdr:cNvSpPr>
          </xdr:nvSpPr>
          <xdr:spPr>
            <a:xfrm>
              <a:off x="10858500" y="14478000"/>
              <a:ext cx="1802737" cy="2493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76</xdr:row>
      <xdr:rowOff>0</xdr:rowOff>
    </xdr:from>
    <xdr:to>
      <xdr:col>24</xdr:col>
      <xdr:colOff>10729</xdr:colOff>
      <xdr:row>89</xdr:row>
      <xdr:rowOff>34572</xdr:rowOff>
    </xdr:to>
    <mc:AlternateContent xmlns:mc="http://schemas.openxmlformats.org/markup-compatibility/2006" xmlns:a14="http://schemas.microsoft.com/office/drawing/2010/main">
      <mc:Choice Requires="a14">
        <xdr:graphicFrame macro="">
          <xdr:nvGraphicFramePr>
            <xdr:cNvPr id="37" name="Total Revenue 12">
              <a:extLst>
                <a:ext uri="{FF2B5EF4-FFF2-40B4-BE49-F238E27FC236}">
                  <a16:creationId xmlns:a16="http://schemas.microsoft.com/office/drawing/2014/main" id="{120546DE-8E8D-479B-869D-2B97B3B319FC}"/>
                </a:ext>
              </a:extLst>
            </xdr:cNvPr>
            <xdr:cNvGraphicFramePr/>
          </xdr:nvGraphicFramePr>
          <xdr:xfrm>
            <a:off x="0" y="0"/>
            <a:ext cx="0" cy="0"/>
          </xdr:xfrm>
          <a:graphic>
            <a:graphicData uri="http://schemas.microsoft.com/office/drawing/2010/slicer">
              <sle:slicer xmlns:sle="http://schemas.microsoft.com/office/drawing/2010/slicer" name="Total Revenue 12"/>
            </a:graphicData>
          </a:graphic>
        </xdr:graphicFrame>
      </mc:Choice>
      <mc:Fallback xmlns="">
        <xdr:sp macro="" textlink="">
          <xdr:nvSpPr>
            <xdr:cNvPr id="0" name=""/>
            <xdr:cNvSpPr>
              <a:spLocks noTextEdit="1"/>
            </xdr:cNvSpPr>
          </xdr:nvSpPr>
          <xdr:spPr>
            <a:xfrm>
              <a:off x="12668250" y="14478000"/>
              <a:ext cx="1820479" cy="2511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76</xdr:row>
      <xdr:rowOff>0</xdr:rowOff>
    </xdr:from>
    <xdr:to>
      <xdr:col>26</xdr:col>
      <xdr:colOff>601952</xdr:colOff>
      <xdr:row>89</xdr:row>
      <xdr:rowOff>17476</xdr:rowOff>
    </xdr:to>
    <mc:AlternateContent xmlns:mc="http://schemas.openxmlformats.org/markup-compatibility/2006" xmlns:a14="http://schemas.microsoft.com/office/drawing/2010/main">
      <mc:Choice Requires="a14">
        <xdr:graphicFrame macro="">
          <xdr:nvGraphicFramePr>
            <xdr:cNvPr id="38" name="Weekday/Weekend 1">
              <a:extLst>
                <a:ext uri="{FF2B5EF4-FFF2-40B4-BE49-F238E27FC236}">
                  <a16:creationId xmlns:a16="http://schemas.microsoft.com/office/drawing/2014/main" id="{2E036C80-73E5-46BD-989C-94A910222CEF}"/>
                </a:ext>
              </a:extLst>
            </xdr:cNvPr>
            <xdr:cNvGraphicFramePr/>
          </xdr:nvGraphicFramePr>
          <xdr:xfrm>
            <a:off x="0" y="0"/>
            <a:ext cx="0" cy="0"/>
          </xdr:xfrm>
          <a:graphic>
            <a:graphicData uri="http://schemas.microsoft.com/office/drawing/2010/slicer">
              <sle:slicer xmlns:sle="http://schemas.microsoft.com/office/drawing/2010/slicer" name="Weekday/Weekend 1"/>
            </a:graphicData>
          </a:graphic>
        </xdr:graphicFrame>
      </mc:Choice>
      <mc:Fallback xmlns="">
        <xdr:sp macro="" textlink="">
          <xdr:nvSpPr>
            <xdr:cNvPr id="0" name=""/>
            <xdr:cNvSpPr>
              <a:spLocks noTextEdit="1"/>
            </xdr:cNvSpPr>
          </xdr:nvSpPr>
          <xdr:spPr>
            <a:xfrm>
              <a:off x="14478000" y="14478000"/>
              <a:ext cx="1808452" cy="2493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0</xdr:colOff>
      <xdr:row>74</xdr:row>
      <xdr:rowOff>-1</xdr:rowOff>
    </xdr:from>
    <xdr:to>
      <xdr:col>36</xdr:col>
      <xdr:colOff>0</xdr:colOff>
      <xdr:row>89</xdr:row>
      <xdr:rowOff>176695</xdr:rowOff>
    </xdr:to>
    <xdr:graphicFrame macro="">
      <xdr:nvGraphicFramePr>
        <xdr:cNvPr id="39" name="Chart 38">
          <a:extLst>
            <a:ext uri="{FF2B5EF4-FFF2-40B4-BE49-F238E27FC236}">
              <a16:creationId xmlns:a16="http://schemas.microsoft.com/office/drawing/2014/main" id="{02999CD7-4436-446B-951F-C39964427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101</xdr:row>
      <xdr:rowOff>0</xdr:rowOff>
    </xdr:from>
    <xdr:to>
      <xdr:col>4</xdr:col>
      <xdr:colOff>16586</xdr:colOff>
      <xdr:row>114</xdr:row>
      <xdr:rowOff>123982</xdr:rowOff>
    </xdr:to>
    <mc:AlternateContent xmlns:mc="http://schemas.openxmlformats.org/markup-compatibility/2006" xmlns:a14="http://schemas.microsoft.com/office/drawing/2010/main">
      <mc:Choice Requires="a14">
        <xdr:graphicFrame macro="">
          <xdr:nvGraphicFramePr>
            <xdr:cNvPr id="40" name="customer name 1">
              <a:extLst>
                <a:ext uri="{FF2B5EF4-FFF2-40B4-BE49-F238E27FC236}">
                  <a16:creationId xmlns:a16="http://schemas.microsoft.com/office/drawing/2014/main" id="{646A537E-3485-41B1-82DE-9949E08D7FDB}"/>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603250" y="19240500"/>
              <a:ext cx="1826336" cy="2600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11043</xdr:colOff>
      <xdr:row>101</xdr:row>
      <xdr:rowOff>0</xdr:rowOff>
    </xdr:from>
    <xdr:to>
      <xdr:col>7</xdr:col>
      <xdr:colOff>8704</xdr:colOff>
      <xdr:row>114</xdr:row>
      <xdr:rowOff>123982</xdr:rowOff>
    </xdr:to>
    <mc:AlternateContent xmlns:mc="http://schemas.openxmlformats.org/markup-compatibility/2006" xmlns:a14="http://schemas.microsoft.com/office/drawing/2010/main">
      <mc:Choice Requires="a14">
        <xdr:graphicFrame macro="">
          <xdr:nvGraphicFramePr>
            <xdr:cNvPr id="41" name="Total Revenue 13">
              <a:extLst>
                <a:ext uri="{FF2B5EF4-FFF2-40B4-BE49-F238E27FC236}">
                  <a16:creationId xmlns:a16="http://schemas.microsoft.com/office/drawing/2014/main" id="{49065D77-51AF-41DD-963F-FD2726CE3A13}"/>
                </a:ext>
              </a:extLst>
            </xdr:cNvPr>
            <xdr:cNvGraphicFramePr/>
          </xdr:nvGraphicFramePr>
          <xdr:xfrm>
            <a:off x="0" y="0"/>
            <a:ext cx="0" cy="0"/>
          </xdr:xfrm>
          <a:graphic>
            <a:graphicData uri="http://schemas.microsoft.com/office/drawing/2010/slicer">
              <sle:slicer xmlns:sle="http://schemas.microsoft.com/office/drawing/2010/slicer" name="Total Revenue 13"/>
            </a:graphicData>
          </a:graphic>
        </xdr:graphicFrame>
      </mc:Choice>
      <mc:Fallback xmlns="">
        <xdr:sp macro="" textlink="">
          <xdr:nvSpPr>
            <xdr:cNvPr id="0" name=""/>
            <xdr:cNvSpPr>
              <a:spLocks noTextEdit="1"/>
            </xdr:cNvSpPr>
          </xdr:nvSpPr>
          <xdr:spPr>
            <a:xfrm>
              <a:off x="2424043" y="19240500"/>
              <a:ext cx="1807411" cy="2600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11043</xdr:colOff>
      <xdr:row>98</xdr:row>
      <xdr:rowOff>0</xdr:rowOff>
    </xdr:from>
    <xdr:to>
      <xdr:col>20</xdr:col>
      <xdr:colOff>187739</xdr:colOff>
      <xdr:row>114</xdr:row>
      <xdr:rowOff>176696</xdr:rowOff>
    </xdr:to>
    <xdr:graphicFrame macro="">
      <xdr:nvGraphicFramePr>
        <xdr:cNvPr id="42" name="Chart 41">
          <a:extLst>
            <a:ext uri="{FF2B5EF4-FFF2-40B4-BE49-F238E27FC236}">
              <a16:creationId xmlns:a16="http://schemas.microsoft.com/office/drawing/2014/main" id="{E34F997C-8520-4B9F-B65B-1125C8047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Lingeshwaran\AppData\Local\Microsoft\Windows\INetCache\IE\9S4HEHDJ\Deivendran_Project%5b1%5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Lingeshwaran\AppData\Local\Microsoft\Windows\INetCache\IE\9S4HEHDJ\Deivendran_Project%5b1%5d.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file:///C:\Users\Lingeshwaran\AppData\Local\Microsoft\Windows\INetCache\IE\9S4HEHDJ\Deivendran_Project%5b1%5d.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file:///C:\Users\Lingeshwaran\AppData\Local\Microsoft\Windows\INetCache\IE\9S4HEHDJ\Deivendran_Project%5b1%5d.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file:///D:\Excel\1234.xlsx"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file:///D:\Excel\1234.xlsx" TargetMode="External"/><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2" Type="http://schemas.openxmlformats.org/officeDocument/2006/relationships/externalLinkPath" Target="file:///D:\Excel\1234.xlsx" TargetMode="External"/><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geshwaran" refreshedDate="45879.789710300924" createdVersion="8" refreshedVersion="8" minRefreshableVersion="3" recordCount="10" xr:uid="{60425AEF-A7B4-42C6-8D0C-5664ADFD4581}">
  <cacheSource type="worksheet">
    <worksheetSource name="project"/>
  </cacheSource>
  <cacheFields count="7">
    <cacheField name="Date" numFmtId="0">
      <sharedItems count="5">
        <s v="2025-01-01"/>
        <s v="2025-01-02"/>
        <s v="2025-01-03"/>
        <s v="2025-01-04"/>
        <s v="2025-01-05"/>
      </sharedItems>
    </cacheField>
    <cacheField name="Store Location" numFmtId="0">
      <sharedItems count="3">
        <s v="New York"/>
        <s v="Chicago"/>
        <s v="Los Angeles"/>
      </sharedItems>
    </cacheField>
    <cacheField name="Product Type" numFmtId="0">
      <sharedItems count="4">
        <s v="Espresso"/>
        <s v="Latte"/>
        <s v="Cappuccino"/>
        <s v="Americano"/>
      </sharedItems>
    </cacheField>
    <cacheField name="Units Sold" numFmtId="0">
      <sharedItems containsSemiMixedTypes="0" containsString="0" containsNumber="1" containsInteger="1" minValue="75" maxValue="120" count="8">
        <n v="120"/>
        <n v="90"/>
        <n v="85"/>
        <n v="110"/>
        <n v="100"/>
        <n v="95"/>
        <n v="75"/>
        <n v="105"/>
      </sharedItems>
    </cacheField>
    <cacheField name="Unit Price" numFmtId="0">
      <sharedItems containsSemiMixedTypes="0" containsString="0" containsNumber="1" minValue="3" maxValue="4.5"/>
    </cacheField>
    <cacheField name="Total Revenue" numFmtId="0">
      <sharedItems containsSemiMixedTypes="0" containsString="0" containsNumber="1" minValue="300" maxValue="472.5" count="10">
        <n v="420"/>
        <n v="405"/>
        <n v="340"/>
        <n v="330"/>
        <n v="350"/>
        <n v="427.5"/>
        <n v="300"/>
        <n v="360"/>
        <n v="385"/>
        <n v="472.5"/>
      </sharedItems>
    </cacheField>
    <cacheField name="Profit" numFmtId="0">
      <sharedItems containsSemiMixedTypes="0" containsString="0" containsNumber="1" containsInteger="1" minValue="70" maxValue="120" count="6">
        <n v="100"/>
        <n v="90"/>
        <n v="80"/>
        <n v="70"/>
        <n v="95"/>
        <n v="120"/>
      </sharedItems>
    </cacheField>
  </cacheFields>
  <extLst>
    <ext xmlns:x14="http://schemas.microsoft.com/office/spreadsheetml/2009/9/main" uri="{725AE2AE-9491-48be-B2B4-4EB974FC3084}">
      <x14:pivotCacheDefinition pivotCacheId="20758723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5879.478820370372" createdVersion="8" refreshedVersion="8" minRefreshableVersion="3" recordCount="10" xr:uid="{71AE12BD-72CF-4860-BE2F-5E1724A163FD}">
  <cacheSource type="worksheet">
    <worksheetSource name="Dash" r:id="rId2"/>
  </cacheSource>
  <cacheFields count="9">
    <cacheField name="Date" numFmtId="0">
      <sharedItems count="5">
        <s v="2025-01-01"/>
        <s v="2025-01-02"/>
        <s v="2025-01-03"/>
        <s v="2025-01-04"/>
        <s v="2025-01-05"/>
      </sharedItems>
    </cacheField>
    <cacheField name="Store Location" numFmtId="0">
      <sharedItems count="3">
        <s v="New York"/>
        <s v="Chicago"/>
        <s v="Los Angeles"/>
      </sharedItems>
    </cacheField>
    <cacheField name="Product Type" numFmtId="0">
      <sharedItems count="4">
        <s v="Espresso"/>
        <s v="Latte"/>
        <s v="Cappuccino"/>
        <s v="Americano"/>
      </sharedItems>
    </cacheField>
    <cacheField name="Units Sold" numFmtId="0">
      <sharedItems containsSemiMixedTypes="0" containsString="0" containsNumber="1" containsInteger="1" minValue="75" maxValue="120"/>
    </cacheField>
    <cacheField name="Unit Price" numFmtId="0">
      <sharedItems containsSemiMixedTypes="0" containsString="0" containsNumber="1" minValue="3" maxValue="4.5"/>
    </cacheField>
    <cacheField name="Total Revenue" numFmtId="0">
      <sharedItems containsSemiMixedTypes="0" containsString="0" containsNumber="1" minValue="300" maxValue="472.5" count="10">
        <n v="420"/>
        <n v="405"/>
        <n v="340"/>
        <n v="330"/>
        <n v="350"/>
        <n v="427.5"/>
        <n v="300"/>
        <n v="360"/>
        <n v="385"/>
        <n v="472.5"/>
      </sharedItems>
    </cacheField>
    <cacheField name="Profit" numFmtId="0">
      <sharedItems containsSemiMixedTypes="0" containsString="0" containsNumber="1" containsInteger="1" minValue="70" maxValue="120" count="6">
        <n v="100"/>
        <n v="90"/>
        <n v="80"/>
        <n v="70"/>
        <n v="95"/>
        <n v="120"/>
      </sharedItems>
    </cacheField>
    <cacheField name="Avg_Order_Valuee" numFmtId="0" formula="'Total Revenue'/'Units Sold'" databaseField="0"/>
    <cacheField name="profit/revenue" numFmtId="0" formula="Profit/'Total Revenue'" databaseField="0"/>
  </cacheFields>
  <extLst>
    <ext xmlns:x14="http://schemas.microsoft.com/office/spreadsheetml/2009/9/main" uri="{725AE2AE-9491-48be-B2B4-4EB974FC3084}">
      <x14:pivotCacheDefinition pivotCacheId="151413583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 refreshedDate="45879.842333796296" createdVersion="8" refreshedVersion="8" minRefreshableVersion="3" recordCount="11" xr:uid="{E1FF02E2-0497-4843-8EED-53B5287CDD7D}">
  <cacheSource type="worksheet">
    <worksheetSource name="nazru" r:id="rId2"/>
  </cacheSource>
  <cacheFields count="8">
    <cacheField name="Date" numFmtId="0">
      <sharedItems containsBlank="1"/>
    </cacheField>
    <cacheField name="Store Location" numFmtId="0">
      <sharedItems containsBlank="1"/>
    </cacheField>
    <cacheField name="Product Type" numFmtId="0">
      <sharedItems containsBlank="1" count="5">
        <s v="Espresso"/>
        <s v="Latte"/>
        <s v="Cappuccino"/>
        <s v="Americano"/>
        <m/>
      </sharedItems>
    </cacheField>
    <cacheField name="Units Sold" numFmtId="0">
      <sharedItems containsString="0" containsBlank="1" containsNumber="1" containsInteger="1" minValue="75" maxValue="120"/>
    </cacheField>
    <cacheField name="Unit Price" numFmtId="0">
      <sharedItems containsString="0" containsBlank="1" containsNumber="1" minValue="3" maxValue="4.5"/>
    </cacheField>
    <cacheField name="Total Revenue" numFmtId="0">
      <sharedItems containsString="0" containsBlank="1" containsNumber="1" minValue="300" maxValue="472.5" count="11">
        <n v="420"/>
        <n v="405"/>
        <n v="340"/>
        <n v="330"/>
        <n v="350"/>
        <n v="427.5"/>
        <n v="300"/>
        <n v="360"/>
        <n v="385"/>
        <n v="472.5"/>
        <m/>
      </sharedItems>
    </cacheField>
    <cacheField name="Profit" numFmtId="0">
      <sharedItems containsSemiMixedTypes="0" containsString="0" containsNumber="1" containsInteger="1" minValue="70" maxValue="895"/>
    </cacheField>
    <cacheField name="Weekdays" numFmtId="0">
      <sharedItems containsBlank="1" count="6">
        <s v="Wednesday"/>
        <s v="Thursday"/>
        <s v="Friday"/>
        <s v="Saturday"/>
        <s v="Sunday"/>
        <m/>
      </sharedItems>
    </cacheField>
  </cacheFields>
  <extLst>
    <ext xmlns:x14="http://schemas.microsoft.com/office/spreadsheetml/2009/9/main" uri="{725AE2AE-9491-48be-B2B4-4EB974FC3084}">
      <x14:pivotCacheDefinition pivotCacheId="137395720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 refreshedDate="45879.864475000002" createdVersion="8" refreshedVersion="8" minRefreshableVersion="3" recordCount="11" xr:uid="{1779C703-0A31-4039-9E03-56BED3518DF4}">
  <cacheSource type="worksheet">
    <worksheetSource name="deva" r:id="rId2"/>
  </cacheSource>
  <cacheFields count="9">
    <cacheField name="Date" numFmtId="0">
      <sharedItems containsBlank="1"/>
    </cacheField>
    <cacheField name="Store Location" numFmtId="0">
      <sharedItems containsBlank="1"/>
    </cacheField>
    <cacheField name="Product Type" numFmtId="0">
      <sharedItems containsBlank="1"/>
    </cacheField>
    <cacheField name="Units Sold" numFmtId="0">
      <sharedItems containsString="0" containsBlank="1" containsNumber="1" containsInteger="1" minValue="75" maxValue="120"/>
    </cacheField>
    <cacheField name="Unit Price" numFmtId="0">
      <sharedItems containsString="0" containsBlank="1" containsNumber="1" minValue="3" maxValue="4.5"/>
    </cacheField>
    <cacheField name="Total Revenue" numFmtId="0">
      <sharedItems containsString="0" containsBlank="1" containsNumber="1" minValue="300" maxValue="472.5"/>
    </cacheField>
    <cacheField name="Profit" numFmtId="0">
      <sharedItems containsSemiMixedTypes="0" containsString="0" containsNumber="1" containsInteger="1" minValue="70" maxValue="895"/>
    </cacheField>
    <cacheField name="Weekdays" numFmtId="0">
      <sharedItems containsBlank="1"/>
    </cacheField>
    <cacheField name="Weekday/Weekend" numFmtId="0">
      <sharedItems count="2">
        <s v="Weekday"/>
        <s v="Weekend"/>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 refreshedDate="45879.873496064814" createdVersion="8" refreshedVersion="8" minRefreshableVersion="3" recordCount="11" xr:uid="{16BA2073-A268-4D9F-A0BE-48D31549662F}">
  <cacheSource type="worksheet">
    <worksheetSource name="Table6" r:id="rId2"/>
  </cacheSource>
  <cacheFields count="10">
    <cacheField name="Date" numFmtId="0">
      <sharedItems containsBlank="1" count="6">
        <s v="2025-01-01"/>
        <s v="2025-01-02"/>
        <s v="2025-01-03"/>
        <s v="2025-01-04"/>
        <s v="2025-01-05"/>
        <m/>
      </sharedItems>
    </cacheField>
    <cacheField name="Store Location" numFmtId="0">
      <sharedItems containsBlank="1"/>
    </cacheField>
    <cacheField name="Product Type" numFmtId="0">
      <sharedItems containsBlank="1" count="5">
        <s v="Espresso"/>
        <s v="Latte"/>
        <s v="Cappuccino"/>
        <s v="Americano"/>
        <m/>
      </sharedItems>
    </cacheField>
    <cacheField name="Units Sold" numFmtId="0">
      <sharedItems containsString="0" containsBlank="1" containsNumber="1" containsInteger="1" minValue="75" maxValue="120"/>
    </cacheField>
    <cacheField name="Unit Price" numFmtId="0">
      <sharedItems containsString="0" containsBlank="1" containsNumber="1" minValue="3" maxValue="4.5"/>
    </cacheField>
    <cacheField name="Total Revenue" numFmtId="0">
      <sharedItems containsString="0" containsBlank="1" containsNumber="1" minValue="300" maxValue="472.5" count="11">
        <n v="420"/>
        <n v="405"/>
        <n v="340"/>
        <n v="330"/>
        <n v="350"/>
        <n v="427.5"/>
        <n v="300"/>
        <n v="360"/>
        <n v="385"/>
        <n v="472.5"/>
        <m/>
      </sharedItems>
    </cacheField>
    <cacheField name="Profit" numFmtId="0">
      <sharedItems containsSemiMixedTypes="0" containsString="0" containsNumber="1" containsInteger="1" minValue="70" maxValue="895"/>
    </cacheField>
    <cacheField name="Weekdays" numFmtId="0">
      <sharedItems containsBlank="1"/>
    </cacheField>
    <cacheField name="Weekday/Weekend" numFmtId="0">
      <sharedItems containsBlank="1" count="3">
        <s v="Weekday"/>
        <s v="Weekend"/>
        <m/>
      </sharedItems>
    </cacheField>
    <cacheField name="month/year" numFmtId="0">
      <sharedItems containsBlank="1" count="2">
        <s v="Jan-2025"/>
        <m/>
      </sharedItems>
    </cacheField>
  </cacheFields>
  <extLst>
    <ext xmlns:x14="http://schemas.microsoft.com/office/spreadsheetml/2009/9/main" uri="{725AE2AE-9491-48be-B2B4-4EB974FC3084}">
      <x14:pivotCacheDefinition pivotCacheId="197902571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5879.881551041668" createdVersion="8" refreshedVersion="8" minRefreshableVersion="3" recordCount="10" xr:uid="{22FC2FAB-5F2D-4A24-8E7D-5AC101F1A913}">
  <cacheSource type="worksheet">
    <worksheetSource name="Dash4" r:id="rId2"/>
  </cacheSource>
  <cacheFields count="9">
    <cacheField name="Date" numFmtId="0">
      <sharedItems/>
    </cacheField>
    <cacheField name="order id" numFmtId="0">
      <sharedItems containsSemiMixedTypes="0" containsString="0" containsNumber="1" containsInteger="1" minValue="1" maxValue="10"/>
    </cacheField>
    <cacheField name="Store Location" numFmtId="0">
      <sharedItems/>
    </cacheField>
    <cacheField name="Product Type" numFmtId="0">
      <sharedItems/>
    </cacheField>
    <cacheField name="Units Sold" numFmtId="0">
      <sharedItems containsSemiMixedTypes="0" containsString="0" containsNumber="1" containsInteger="1" minValue="75" maxValue="120"/>
    </cacheField>
    <cacheField name="Unit Price" numFmtId="0">
      <sharedItems containsSemiMixedTypes="0" containsString="0" containsNumber="1" minValue="3" maxValue="4.5"/>
    </cacheField>
    <cacheField name="Total Revenue" numFmtId="0">
      <sharedItems containsSemiMixedTypes="0" containsString="0" containsNumber="1" minValue="300" maxValue="472.5" count="10">
        <n v="420"/>
        <n v="405"/>
        <n v="340"/>
        <n v="330"/>
        <n v="350"/>
        <n v="427.5"/>
        <n v="300"/>
        <n v="360"/>
        <n v="385"/>
        <n v="472.5"/>
      </sharedItems>
    </cacheField>
    <cacheField name="Profit" numFmtId="0">
      <sharedItems containsSemiMixedTypes="0" containsString="0" containsNumber="1" containsInteger="1" minValue="70" maxValue="120"/>
    </cacheField>
    <cacheField name="customer name" numFmtId="0">
      <sharedItems count="10">
        <s v="john"/>
        <s v="devi"/>
        <s v="josuva"/>
        <s v="priya "/>
        <s v="james"/>
        <s v="wick"/>
        <s v="thomas"/>
        <s v="devid"/>
        <s v="santhosh"/>
        <s v="dan"/>
      </sharedItems>
    </cacheField>
  </cacheFields>
  <extLst>
    <ext xmlns:x14="http://schemas.microsoft.com/office/spreadsheetml/2009/9/main" uri="{725AE2AE-9491-48be-B2B4-4EB974FC3084}">
      <x14:pivotCacheDefinition pivotCacheId="349114944"/>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5879.864352083336" createdVersion="8" refreshedVersion="8" minRefreshableVersion="3" recordCount="10" xr:uid="{87D503DE-5892-4D0E-81A0-1F43E3F52930}">
  <cacheSource type="worksheet">
    <worksheetSource name="Dash3" r:id="rId2"/>
  </cacheSource>
  <cacheFields count="8">
    <cacheField name="Date" numFmtId="0">
      <sharedItems/>
    </cacheField>
    <cacheField name="order id" numFmtId="0">
      <sharedItems containsSemiMixedTypes="0" containsString="0" containsNumber="1" containsInteger="1" minValue="1" maxValue="10" count="10">
        <n v="1"/>
        <n v="2"/>
        <n v="3"/>
        <n v="4"/>
        <n v="5"/>
        <n v="6"/>
        <n v="7"/>
        <n v="8"/>
        <n v="9"/>
        <n v="10"/>
      </sharedItems>
    </cacheField>
    <cacheField name="Store Location" numFmtId="0">
      <sharedItems/>
    </cacheField>
    <cacheField name="Product Type" numFmtId="0">
      <sharedItems/>
    </cacheField>
    <cacheField name="Units Sold" numFmtId="0">
      <sharedItems containsSemiMixedTypes="0" containsString="0" containsNumber="1" containsInteger="1" minValue="75" maxValue="120"/>
    </cacheField>
    <cacheField name="Unit Price" numFmtId="0">
      <sharedItems containsSemiMixedTypes="0" containsString="0" containsNumber="1" minValue="3" maxValue="4.5"/>
    </cacheField>
    <cacheField name="Total Revenue" numFmtId="0">
      <sharedItems containsSemiMixedTypes="0" containsString="0" containsNumber="1" minValue="300" maxValue="472.5"/>
    </cacheField>
    <cacheField name="Profit" numFmtId="0">
      <sharedItems containsSemiMixedTypes="0" containsString="0" containsNumber="1" containsInteger="1" minValue="70" maxValue="12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5879.953745949075" createdVersion="8" refreshedVersion="8" minRefreshableVersion="3" recordCount="11" xr:uid="{9666AACD-6279-4A5E-AB82-CBE192C9E754}">
  <cacheSource type="worksheet">
    <worksheetSource name="Dash6" r:id="rId2"/>
  </cacheSource>
  <cacheFields count="11">
    <cacheField name="Date" numFmtId="0">
      <sharedItems containsBlank="1"/>
    </cacheField>
    <cacheField name="order id" numFmtId="0">
      <sharedItems containsString="0" containsBlank="1" containsNumber="1" containsInteger="1" minValue="1" maxValue="10"/>
    </cacheField>
    <cacheField name="Discount" numFmtId="0">
      <sharedItems containsBlank="1" count="11">
        <s v="1-10%"/>
        <s v="20-80%"/>
        <s v="50-70%"/>
        <s v="30-50%"/>
        <s v="40-80%"/>
        <s v="60-90%"/>
        <s v="20-50%"/>
        <s v="10-60%"/>
        <s v="40-70%"/>
        <s v="20-60%"/>
        <m/>
      </sharedItems>
    </cacheField>
    <cacheField name="Store Location" numFmtId="0">
      <sharedItems containsBlank="1"/>
    </cacheField>
    <cacheField name="Product Type" numFmtId="0">
      <sharedItems containsBlank="1"/>
    </cacheField>
    <cacheField name="Units Sold" numFmtId="0">
      <sharedItems containsString="0" containsBlank="1" containsNumber="1" containsInteger="1" minValue="75" maxValue="120"/>
    </cacheField>
    <cacheField name="Unit Price" numFmtId="0">
      <sharedItems containsString="0" containsBlank="1" containsNumber="1" minValue="3" maxValue="4.5"/>
    </cacheField>
    <cacheField name="Total Revenue" numFmtId="0">
      <sharedItems containsSemiMixedTypes="0" containsString="0" containsNumber="1" minValue="300" maxValue="3790"/>
    </cacheField>
    <cacheField name="Profit" numFmtId="0">
      <sharedItems containsString="0" containsBlank="1" containsNumber="1" containsInteger="1" minValue="70" maxValue="120"/>
    </cacheField>
    <cacheField name="customer name" numFmtId="0">
      <sharedItems containsBlank="1"/>
    </cacheField>
    <cacheField name="Average Profit Margin" numFmtId="0">
      <sharedItems containsString="0" containsBlank="1" containsNumber="1" minValue="0.21212121212121213" maxValue="0.2571428571428571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n v="3.5"/>
    <x v="0"/>
    <x v="0"/>
  </r>
  <r>
    <x v="0"/>
    <x v="1"/>
    <x v="1"/>
    <x v="1"/>
    <n v="4.5"/>
    <x v="1"/>
    <x v="1"/>
  </r>
  <r>
    <x v="1"/>
    <x v="2"/>
    <x v="2"/>
    <x v="2"/>
    <n v="4"/>
    <x v="2"/>
    <x v="2"/>
  </r>
  <r>
    <x v="1"/>
    <x v="0"/>
    <x v="3"/>
    <x v="3"/>
    <n v="3"/>
    <x v="3"/>
    <x v="3"/>
  </r>
  <r>
    <x v="2"/>
    <x v="1"/>
    <x v="0"/>
    <x v="4"/>
    <n v="3.5"/>
    <x v="4"/>
    <x v="1"/>
  </r>
  <r>
    <x v="2"/>
    <x v="2"/>
    <x v="1"/>
    <x v="5"/>
    <n v="4.5"/>
    <x v="5"/>
    <x v="0"/>
  </r>
  <r>
    <x v="3"/>
    <x v="0"/>
    <x v="2"/>
    <x v="6"/>
    <n v="4"/>
    <x v="6"/>
    <x v="3"/>
  </r>
  <r>
    <x v="3"/>
    <x v="1"/>
    <x v="3"/>
    <x v="0"/>
    <n v="3"/>
    <x v="7"/>
    <x v="2"/>
  </r>
  <r>
    <x v="4"/>
    <x v="2"/>
    <x v="0"/>
    <x v="3"/>
    <n v="3.5"/>
    <x v="8"/>
    <x v="4"/>
  </r>
  <r>
    <x v="4"/>
    <x v="0"/>
    <x v="1"/>
    <x v="7"/>
    <n v="4.5"/>
    <x v="9"/>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120"/>
    <n v="3.5"/>
    <x v="0"/>
    <x v="0"/>
  </r>
  <r>
    <x v="0"/>
    <x v="1"/>
    <x v="1"/>
    <n v="90"/>
    <n v="4.5"/>
    <x v="1"/>
    <x v="1"/>
  </r>
  <r>
    <x v="1"/>
    <x v="2"/>
    <x v="2"/>
    <n v="85"/>
    <n v="4"/>
    <x v="2"/>
    <x v="2"/>
  </r>
  <r>
    <x v="1"/>
    <x v="0"/>
    <x v="3"/>
    <n v="110"/>
    <n v="3"/>
    <x v="3"/>
    <x v="3"/>
  </r>
  <r>
    <x v="2"/>
    <x v="1"/>
    <x v="0"/>
    <n v="100"/>
    <n v="3.5"/>
    <x v="4"/>
    <x v="1"/>
  </r>
  <r>
    <x v="2"/>
    <x v="2"/>
    <x v="1"/>
    <n v="95"/>
    <n v="4.5"/>
    <x v="5"/>
    <x v="0"/>
  </r>
  <r>
    <x v="3"/>
    <x v="0"/>
    <x v="2"/>
    <n v="75"/>
    <n v="4"/>
    <x v="6"/>
    <x v="3"/>
  </r>
  <r>
    <x v="3"/>
    <x v="1"/>
    <x v="3"/>
    <n v="120"/>
    <n v="3"/>
    <x v="7"/>
    <x v="2"/>
  </r>
  <r>
    <x v="4"/>
    <x v="2"/>
    <x v="0"/>
    <n v="110"/>
    <n v="3.5"/>
    <x v="8"/>
    <x v="4"/>
  </r>
  <r>
    <x v="4"/>
    <x v="0"/>
    <x v="1"/>
    <n v="105"/>
    <n v="4.5"/>
    <x v="9"/>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2025-01-01"/>
    <s v="New York"/>
    <x v="0"/>
    <n v="120"/>
    <n v="3.5"/>
    <x v="0"/>
    <n v="100"/>
    <x v="0"/>
  </r>
  <r>
    <s v="2025-01-01"/>
    <s v="Chicago"/>
    <x v="1"/>
    <n v="90"/>
    <n v="4.5"/>
    <x v="1"/>
    <n v="90"/>
    <x v="0"/>
  </r>
  <r>
    <s v="2025-01-02"/>
    <s v="Los Angeles"/>
    <x v="2"/>
    <n v="85"/>
    <n v="4"/>
    <x v="2"/>
    <n v="80"/>
    <x v="1"/>
  </r>
  <r>
    <s v="2025-01-02"/>
    <s v="New York"/>
    <x v="3"/>
    <n v="110"/>
    <n v="3"/>
    <x v="3"/>
    <n v="70"/>
    <x v="1"/>
  </r>
  <r>
    <s v="2025-01-03"/>
    <s v="Chicago"/>
    <x v="0"/>
    <n v="100"/>
    <n v="3.5"/>
    <x v="4"/>
    <n v="90"/>
    <x v="2"/>
  </r>
  <r>
    <s v="2025-01-03"/>
    <s v="Los Angeles"/>
    <x v="1"/>
    <n v="95"/>
    <n v="4.5"/>
    <x v="5"/>
    <n v="100"/>
    <x v="2"/>
  </r>
  <r>
    <s v="2025-01-04"/>
    <s v="New York"/>
    <x v="2"/>
    <n v="75"/>
    <n v="4"/>
    <x v="6"/>
    <n v="70"/>
    <x v="3"/>
  </r>
  <r>
    <s v="2025-01-04"/>
    <s v="Chicago"/>
    <x v="3"/>
    <n v="120"/>
    <n v="3"/>
    <x v="7"/>
    <n v="80"/>
    <x v="3"/>
  </r>
  <r>
    <s v="2025-01-05"/>
    <s v="Los Angeles"/>
    <x v="0"/>
    <n v="110"/>
    <n v="3.5"/>
    <x v="8"/>
    <n v="95"/>
    <x v="4"/>
  </r>
  <r>
    <s v="2025-01-05"/>
    <s v="New York"/>
    <x v="1"/>
    <n v="105"/>
    <n v="4.5"/>
    <x v="9"/>
    <n v="120"/>
    <x v="4"/>
  </r>
  <r>
    <m/>
    <m/>
    <x v="4"/>
    <m/>
    <m/>
    <x v="10"/>
    <n v="895"/>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2025-01-01"/>
    <s v="New York"/>
    <s v="Espresso"/>
    <n v="120"/>
    <n v="3.5"/>
    <n v="420"/>
    <n v="100"/>
    <s v="Wednesday"/>
    <x v="0"/>
  </r>
  <r>
    <s v="2025-01-01"/>
    <s v="Chicago"/>
    <s v="Latte"/>
    <n v="90"/>
    <n v="4.5"/>
    <n v="405"/>
    <n v="90"/>
    <s v="Wednesday"/>
    <x v="0"/>
  </r>
  <r>
    <s v="2025-01-02"/>
    <s v="Los Angeles"/>
    <s v="Cappuccino"/>
    <n v="85"/>
    <n v="4"/>
    <n v="340"/>
    <n v="80"/>
    <s v="Thursday"/>
    <x v="0"/>
  </r>
  <r>
    <s v="2025-01-02"/>
    <s v="New York"/>
    <s v="Americano"/>
    <n v="110"/>
    <n v="3"/>
    <n v="330"/>
    <n v="70"/>
    <s v="Thursday"/>
    <x v="0"/>
  </r>
  <r>
    <s v="2025-01-03"/>
    <s v="Chicago"/>
    <s v="Espresso"/>
    <n v="100"/>
    <n v="3.5"/>
    <n v="350"/>
    <n v="90"/>
    <s v="Friday"/>
    <x v="0"/>
  </r>
  <r>
    <s v="2025-01-03"/>
    <s v="Los Angeles"/>
    <s v="Latte"/>
    <n v="95"/>
    <n v="4.5"/>
    <n v="427.5"/>
    <n v="100"/>
    <s v="Friday"/>
    <x v="0"/>
  </r>
  <r>
    <s v="2025-01-04"/>
    <s v="New York"/>
    <s v="Cappuccino"/>
    <n v="75"/>
    <n v="4"/>
    <n v="300"/>
    <n v="70"/>
    <s v="Saturday"/>
    <x v="1"/>
  </r>
  <r>
    <s v="2025-01-04"/>
    <s v="Chicago"/>
    <s v="Americano"/>
    <n v="120"/>
    <n v="3"/>
    <n v="360"/>
    <n v="80"/>
    <s v="Saturday"/>
    <x v="1"/>
  </r>
  <r>
    <s v="2025-01-05"/>
    <s v="Los Angeles"/>
    <s v="Espresso"/>
    <n v="110"/>
    <n v="3.5"/>
    <n v="385"/>
    <n v="95"/>
    <s v="Sunday"/>
    <x v="1"/>
  </r>
  <r>
    <s v="2025-01-05"/>
    <s v="New York"/>
    <s v="Latte"/>
    <n v="105"/>
    <n v="4.5"/>
    <n v="472.5"/>
    <n v="120"/>
    <s v="Sunday"/>
    <x v="1"/>
  </r>
  <r>
    <m/>
    <m/>
    <m/>
    <m/>
    <m/>
    <m/>
    <n v="895"/>
    <m/>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s v="New York"/>
    <x v="0"/>
    <n v="120"/>
    <n v="3.5"/>
    <x v="0"/>
    <n v="100"/>
    <s v="Wednesday"/>
    <x v="0"/>
    <x v="0"/>
  </r>
  <r>
    <x v="0"/>
    <s v="Chicago"/>
    <x v="1"/>
    <n v="90"/>
    <n v="4.5"/>
    <x v="1"/>
    <n v="90"/>
    <s v="Wednesday"/>
    <x v="0"/>
    <x v="0"/>
  </r>
  <r>
    <x v="1"/>
    <s v="Los Angeles"/>
    <x v="2"/>
    <n v="85"/>
    <n v="4"/>
    <x v="2"/>
    <n v="80"/>
    <s v="Thursday"/>
    <x v="0"/>
    <x v="0"/>
  </r>
  <r>
    <x v="1"/>
    <s v="New York"/>
    <x v="3"/>
    <n v="110"/>
    <n v="3"/>
    <x v="3"/>
    <n v="70"/>
    <s v="Thursday"/>
    <x v="0"/>
    <x v="0"/>
  </r>
  <r>
    <x v="2"/>
    <s v="Chicago"/>
    <x v="0"/>
    <n v="100"/>
    <n v="3.5"/>
    <x v="4"/>
    <n v="90"/>
    <s v="Friday"/>
    <x v="0"/>
    <x v="0"/>
  </r>
  <r>
    <x v="2"/>
    <s v="Los Angeles"/>
    <x v="1"/>
    <n v="95"/>
    <n v="4.5"/>
    <x v="5"/>
    <n v="100"/>
    <s v="Friday"/>
    <x v="0"/>
    <x v="0"/>
  </r>
  <r>
    <x v="3"/>
    <s v="New York"/>
    <x v="2"/>
    <n v="75"/>
    <n v="4"/>
    <x v="6"/>
    <n v="70"/>
    <s v="Saturday"/>
    <x v="1"/>
    <x v="0"/>
  </r>
  <r>
    <x v="3"/>
    <s v="Chicago"/>
    <x v="3"/>
    <n v="120"/>
    <n v="3"/>
    <x v="7"/>
    <n v="80"/>
    <s v="Saturday"/>
    <x v="1"/>
    <x v="0"/>
  </r>
  <r>
    <x v="4"/>
    <s v="Los Angeles"/>
    <x v="0"/>
    <n v="110"/>
    <n v="3.5"/>
    <x v="8"/>
    <n v="95"/>
    <s v="Sunday"/>
    <x v="1"/>
    <x v="0"/>
  </r>
  <r>
    <x v="4"/>
    <s v="New York"/>
    <x v="1"/>
    <n v="105"/>
    <n v="4.5"/>
    <x v="9"/>
    <n v="120"/>
    <s v="Sunday"/>
    <x v="1"/>
    <x v="0"/>
  </r>
  <r>
    <x v="5"/>
    <m/>
    <x v="4"/>
    <m/>
    <m/>
    <x v="10"/>
    <n v="895"/>
    <m/>
    <x v="2"/>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2025-01-01"/>
    <n v="1"/>
    <s v="New York"/>
    <s v="Espresso"/>
    <n v="120"/>
    <n v="3.5"/>
    <x v="0"/>
    <n v="100"/>
    <x v="0"/>
  </r>
  <r>
    <s v="2025-01-01"/>
    <n v="2"/>
    <s v="Chicago"/>
    <s v="Latte"/>
    <n v="90"/>
    <n v="4.5"/>
    <x v="1"/>
    <n v="90"/>
    <x v="1"/>
  </r>
  <r>
    <s v="2025-01-02"/>
    <n v="3"/>
    <s v="Los Angeles"/>
    <s v="Cappuccino"/>
    <n v="85"/>
    <n v="4"/>
    <x v="2"/>
    <n v="80"/>
    <x v="2"/>
  </r>
  <r>
    <s v="2025-01-02"/>
    <n v="4"/>
    <s v="New York"/>
    <s v="Americano"/>
    <n v="110"/>
    <n v="3"/>
    <x v="3"/>
    <n v="70"/>
    <x v="3"/>
  </r>
  <r>
    <s v="2025-01-03"/>
    <n v="5"/>
    <s v="Chicago"/>
    <s v="Espresso"/>
    <n v="100"/>
    <n v="3.5"/>
    <x v="4"/>
    <n v="90"/>
    <x v="4"/>
  </r>
  <r>
    <s v="2025-01-03"/>
    <n v="6"/>
    <s v="Los Angeles"/>
    <s v="Latte"/>
    <n v="95"/>
    <n v="4.5"/>
    <x v="5"/>
    <n v="100"/>
    <x v="5"/>
  </r>
  <r>
    <s v="2025-01-04"/>
    <n v="7"/>
    <s v="New York"/>
    <s v="Cappuccino"/>
    <n v="75"/>
    <n v="4"/>
    <x v="6"/>
    <n v="70"/>
    <x v="6"/>
  </r>
  <r>
    <s v="2025-01-04"/>
    <n v="8"/>
    <s v="Chicago"/>
    <s v="Americano"/>
    <n v="120"/>
    <n v="3"/>
    <x v="7"/>
    <n v="80"/>
    <x v="7"/>
  </r>
  <r>
    <s v="2025-01-05"/>
    <n v="9"/>
    <s v="Los Angeles"/>
    <s v="Espresso"/>
    <n v="110"/>
    <n v="3.5"/>
    <x v="8"/>
    <n v="95"/>
    <x v="8"/>
  </r>
  <r>
    <s v="2025-01-05"/>
    <n v="10"/>
    <s v="New York"/>
    <s v="Latte"/>
    <n v="105"/>
    <n v="4.5"/>
    <x v="9"/>
    <n v="120"/>
    <x v="9"/>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2025-01-01"/>
    <x v="0"/>
    <s v="New York"/>
    <s v="Espresso"/>
    <n v="120"/>
    <n v="3.5"/>
    <n v="420"/>
    <n v="100"/>
  </r>
  <r>
    <s v="2025-01-01"/>
    <x v="1"/>
    <s v="Chicago"/>
    <s v="Latte"/>
    <n v="90"/>
    <n v="4.5"/>
    <n v="405"/>
    <n v="90"/>
  </r>
  <r>
    <s v="2025-01-02"/>
    <x v="2"/>
    <s v="Los Angeles"/>
    <s v="Cappuccino"/>
    <n v="85"/>
    <n v="4"/>
    <n v="340"/>
    <n v="80"/>
  </r>
  <r>
    <s v="2025-01-02"/>
    <x v="3"/>
    <s v="New York"/>
    <s v="Americano"/>
    <n v="110"/>
    <n v="3"/>
    <n v="330"/>
    <n v="70"/>
  </r>
  <r>
    <s v="2025-01-03"/>
    <x v="4"/>
    <s v="Chicago"/>
    <s v="Espresso"/>
    <n v="100"/>
    <n v="3.5"/>
    <n v="350"/>
    <n v="90"/>
  </r>
  <r>
    <s v="2025-01-03"/>
    <x v="5"/>
    <s v="Los Angeles"/>
    <s v="Latte"/>
    <n v="95"/>
    <n v="4.5"/>
    <n v="427.5"/>
    <n v="100"/>
  </r>
  <r>
    <s v="2025-01-04"/>
    <x v="6"/>
    <s v="New York"/>
    <s v="Cappuccino"/>
    <n v="75"/>
    <n v="4"/>
    <n v="300"/>
    <n v="70"/>
  </r>
  <r>
    <s v="2025-01-04"/>
    <x v="7"/>
    <s v="Chicago"/>
    <s v="Americano"/>
    <n v="120"/>
    <n v="3"/>
    <n v="360"/>
    <n v="80"/>
  </r>
  <r>
    <s v="2025-01-05"/>
    <x v="8"/>
    <s v="Los Angeles"/>
    <s v="Espresso"/>
    <n v="110"/>
    <n v="3.5"/>
    <n v="385"/>
    <n v="95"/>
  </r>
  <r>
    <s v="2025-01-05"/>
    <x v="9"/>
    <s v="New York"/>
    <s v="Latte"/>
    <n v="105"/>
    <n v="4.5"/>
    <n v="472.5"/>
    <n v="12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2025-01-01"/>
    <n v="1"/>
    <x v="0"/>
    <s v="New York"/>
    <s v="Espresso"/>
    <n v="120"/>
    <n v="3.5"/>
    <n v="420"/>
    <n v="100"/>
    <s v="john"/>
    <n v="0.23809523809523808"/>
  </r>
  <r>
    <s v="2025-01-01"/>
    <n v="2"/>
    <x v="1"/>
    <s v="Chicago"/>
    <s v="Latte"/>
    <n v="90"/>
    <n v="4.5"/>
    <n v="405"/>
    <n v="90"/>
    <s v="devi"/>
    <n v="0.22222222222222221"/>
  </r>
  <r>
    <s v="2025-01-02"/>
    <n v="3"/>
    <x v="2"/>
    <s v="Los Angeles"/>
    <s v="Cappuccino"/>
    <n v="85"/>
    <n v="4"/>
    <n v="340"/>
    <n v="80"/>
    <s v="josuva"/>
    <n v="0.23529411764705882"/>
  </r>
  <r>
    <s v="2025-01-02"/>
    <n v="4"/>
    <x v="3"/>
    <s v="New York"/>
    <s v="Americano"/>
    <n v="110"/>
    <n v="3"/>
    <n v="330"/>
    <n v="70"/>
    <s v="priya "/>
    <n v="0.21212121212121213"/>
  </r>
  <r>
    <s v="2025-01-03"/>
    <n v="5"/>
    <x v="4"/>
    <s v="Chicago"/>
    <s v="Espresso"/>
    <n v="100"/>
    <n v="3.5"/>
    <n v="350"/>
    <n v="90"/>
    <s v="james"/>
    <n v="0.25714285714285712"/>
  </r>
  <r>
    <s v="2025-01-03"/>
    <n v="6"/>
    <x v="5"/>
    <s v="Los Angeles"/>
    <s v="Latte"/>
    <n v="95"/>
    <n v="4.5"/>
    <n v="427.5"/>
    <n v="100"/>
    <s v="wick"/>
    <n v="0.23391812865497075"/>
  </r>
  <r>
    <s v="2025-01-04"/>
    <n v="7"/>
    <x v="6"/>
    <s v="New York"/>
    <s v="Cappuccino"/>
    <n v="75"/>
    <n v="4"/>
    <n v="300"/>
    <n v="70"/>
    <s v="thomas"/>
    <n v="0.23333333333333334"/>
  </r>
  <r>
    <s v="2025-01-04"/>
    <n v="8"/>
    <x v="7"/>
    <s v="Chicago"/>
    <s v="Americano"/>
    <n v="120"/>
    <n v="3"/>
    <n v="360"/>
    <n v="80"/>
    <s v="devid"/>
    <n v="0.22222222222222221"/>
  </r>
  <r>
    <s v="2025-01-05"/>
    <n v="9"/>
    <x v="8"/>
    <s v="Los Angeles"/>
    <s v="Espresso"/>
    <n v="110"/>
    <n v="3.5"/>
    <n v="385"/>
    <n v="95"/>
    <s v="santhosh"/>
    <n v="0.24675324675324675"/>
  </r>
  <r>
    <s v="2025-01-05"/>
    <n v="10"/>
    <x v="9"/>
    <s v="New York"/>
    <s v="Latte"/>
    <n v="105"/>
    <n v="4.5"/>
    <n v="472.5"/>
    <n v="120"/>
    <s v="dan"/>
    <n v="0.25396825396825395"/>
  </r>
  <r>
    <m/>
    <m/>
    <x v="10"/>
    <m/>
    <m/>
    <m/>
    <m/>
    <n v="379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0B21D5-A040-4E34-AE68-36D16C1E2D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7:C32" firstHeaderRow="1" firstDataRow="1" firstDataCol="1"/>
  <pivotFields count="7">
    <pivotField axis="axisRow" showAll="0">
      <items count="6">
        <item x="0"/>
        <item x="1"/>
        <item x="2"/>
        <item x="3"/>
        <item x="4"/>
        <item t="default"/>
      </items>
    </pivotField>
    <pivotField axis="axisRow" showAll="0">
      <items count="4">
        <item x="1"/>
        <item x="2"/>
        <item x="0"/>
        <item t="default"/>
      </items>
    </pivotField>
    <pivotField axis="axisRow" showAll="0" sortType="ascending">
      <items count="5">
        <item x="3"/>
        <item x="2"/>
        <item x="0"/>
        <item x="1"/>
        <item t="default"/>
      </items>
    </pivotField>
    <pivotField showAll="0"/>
    <pivotField showAll="0"/>
    <pivotField dataField="1" showAll="0">
      <items count="11">
        <item x="6"/>
        <item x="3"/>
        <item x="2"/>
        <item x="4"/>
        <item x="7"/>
        <item x="8"/>
        <item x="1"/>
        <item x="0"/>
        <item x="5"/>
        <item x="9"/>
        <item t="default"/>
      </items>
    </pivotField>
    <pivotField showAll="0"/>
  </pivotFields>
  <rowFields count="3">
    <field x="2"/>
    <field x="1"/>
    <field x="0"/>
  </rowFields>
  <rowItems count="25">
    <i>
      <x/>
    </i>
    <i r="1">
      <x/>
    </i>
    <i r="2">
      <x v="3"/>
    </i>
    <i r="1">
      <x v="2"/>
    </i>
    <i r="2">
      <x v="1"/>
    </i>
    <i>
      <x v="1"/>
    </i>
    <i r="1">
      <x v="1"/>
    </i>
    <i r="2">
      <x v="1"/>
    </i>
    <i r="1">
      <x v="2"/>
    </i>
    <i r="2">
      <x v="3"/>
    </i>
    <i>
      <x v="2"/>
    </i>
    <i r="1">
      <x/>
    </i>
    <i r="2">
      <x v="2"/>
    </i>
    <i r="1">
      <x v="1"/>
    </i>
    <i r="2">
      <x v="4"/>
    </i>
    <i r="1">
      <x v="2"/>
    </i>
    <i r="2">
      <x/>
    </i>
    <i>
      <x v="3"/>
    </i>
    <i r="1">
      <x/>
    </i>
    <i r="2">
      <x/>
    </i>
    <i r="1">
      <x v="1"/>
    </i>
    <i r="2">
      <x v="2"/>
    </i>
    <i r="1">
      <x v="2"/>
    </i>
    <i r="2">
      <x v="4"/>
    </i>
    <i t="grand">
      <x/>
    </i>
  </rowItems>
  <colItems count="1">
    <i/>
  </colItems>
  <dataFields count="1">
    <dataField name="Sum of Total Revenue" fld="5" baseField="0" baseItem="0"/>
  </dataFields>
  <formats count="20">
    <format dxfId="260">
      <pivotArea type="all" dataOnly="0" outline="0" fieldPosition="0"/>
    </format>
    <format dxfId="259">
      <pivotArea outline="0" collapsedLevelsAreSubtotals="1" fieldPosition="0"/>
    </format>
    <format dxfId="258">
      <pivotArea field="2" type="button" dataOnly="0" labelOnly="1" outline="0" axis="axisRow" fieldPosition="0"/>
    </format>
    <format dxfId="257">
      <pivotArea dataOnly="0" labelOnly="1" fieldPosition="0">
        <references count="1">
          <reference field="2" count="0"/>
        </references>
      </pivotArea>
    </format>
    <format dxfId="256">
      <pivotArea dataOnly="0" labelOnly="1" grandRow="1" outline="0" fieldPosition="0"/>
    </format>
    <format dxfId="255">
      <pivotArea dataOnly="0" labelOnly="1" fieldPosition="0">
        <references count="2">
          <reference field="1" count="2">
            <x v="0"/>
            <x v="2"/>
          </reference>
          <reference field="2" count="1" selected="0">
            <x v="0"/>
          </reference>
        </references>
      </pivotArea>
    </format>
    <format dxfId="254">
      <pivotArea dataOnly="0" labelOnly="1" fieldPosition="0">
        <references count="2">
          <reference field="1" count="2">
            <x v="1"/>
            <x v="2"/>
          </reference>
          <reference field="2" count="1" selected="0">
            <x v="1"/>
          </reference>
        </references>
      </pivotArea>
    </format>
    <format dxfId="253">
      <pivotArea dataOnly="0" labelOnly="1" fieldPosition="0">
        <references count="2">
          <reference field="1" count="0"/>
          <reference field="2" count="1" selected="0">
            <x v="2"/>
          </reference>
        </references>
      </pivotArea>
    </format>
    <format dxfId="252">
      <pivotArea dataOnly="0" labelOnly="1" fieldPosition="0">
        <references count="2">
          <reference field="1" count="0"/>
          <reference field="2" count="1" selected="0">
            <x v="3"/>
          </reference>
        </references>
      </pivotArea>
    </format>
    <format dxfId="251">
      <pivotArea dataOnly="0" labelOnly="1" fieldPosition="0">
        <references count="3">
          <reference field="0" count="1">
            <x v="3"/>
          </reference>
          <reference field="1" count="1" selected="0">
            <x v="0"/>
          </reference>
          <reference field="2" count="1" selected="0">
            <x v="0"/>
          </reference>
        </references>
      </pivotArea>
    </format>
    <format dxfId="250">
      <pivotArea dataOnly="0" labelOnly="1" fieldPosition="0">
        <references count="3">
          <reference field="0" count="1">
            <x v="1"/>
          </reference>
          <reference field="1" count="1" selected="0">
            <x v="2"/>
          </reference>
          <reference field="2" count="1" selected="0">
            <x v="0"/>
          </reference>
        </references>
      </pivotArea>
    </format>
    <format dxfId="249">
      <pivotArea dataOnly="0" labelOnly="1" fieldPosition="0">
        <references count="3">
          <reference field="0" count="1">
            <x v="1"/>
          </reference>
          <reference field="1" count="1" selected="0">
            <x v="1"/>
          </reference>
          <reference field="2" count="1" selected="0">
            <x v="1"/>
          </reference>
        </references>
      </pivotArea>
    </format>
    <format dxfId="248">
      <pivotArea dataOnly="0" labelOnly="1" fieldPosition="0">
        <references count="3">
          <reference field="0" count="1">
            <x v="3"/>
          </reference>
          <reference field="1" count="1" selected="0">
            <x v="2"/>
          </reference>
          <reference field="2" count="1" selected="0">
            <x v="1"/>
          </reference>
        </references>
      </pivotArea>
    </format>
    <format dxfId="247">
      <pivotArea dataOnly="0" labelOnly="1" fieldPosition="0">
        <references count="3">
          <reference field="0" count="1">
            <x v="2"/>
          </reference>
          <reference field="1" count="1" selected="0">
            <x v="0"/>
          </reference>
          <reference field="2" count="1" selected="0">
            <x v="2"/>
          </reference>
        </references>
      </pivotArea>
    </format>
    <format dxfId="246">
      <pivotArea dataOnly="0" labelOnly="1" fieldPosition="0">
        <references count="3">
          <reference field="0" count="1">
            <x v="4"/>
          </reference>
          <reference field="1" count="1" selected="0">
            <x v="1"/>
          </reference>
          <reference field="2" count="1" selected="0">
            <x v="2"/>
          </reference>
        </references>
      </pivotArea>
    </format>
    <format dxfId="245">
      <pivotArea dataOnly="0" labelOnly="1" fieldPosition="0">
        <references count="3">
          <reference field="0" count="1">
            <x v="0"/>
          </reference>
          <reference field="1" count="1" selected="0">
            <x v="2"/>
          </reference>
          <reference field="2" count="1" selected="0">
            <x v="2"/>
          </reference>
        </references>
      </pivotArea>
    </format>
    <format dxfId="244">
      <pivotArea dataOnly="0" labelOnly="1" fieldPosition="0">
        <references count="3">
          <reference field="0" count="1">
            <x v="0"/>
          </reference>
          <reference field="1" count="1" selected="0">
            <x v="0"/>
          </reference>
          <reference field="2" count="1" selected="0">
            <x v="3"/>
          </reference>
        </references>
      </pivotArea>
    </format>
    <format dxfId="243">
      <pivotArea dataOnly="0" labelOnly="1" fieldPosition="0">
        <references count="3">
          <reference field="0" count="1">
            <x v="2"/>
          </reference>
          <reference field="1" count="1" selected="0">
            <x v="1"/>
          </reference>
          <reference field="2" count="1" selected="0">
            <x v="3"/>
          </reference>
        </references>
      </pivotArea>
    </format>
    <format dxfId="242">
      <pivotArea dataOnly="0" labelOnly="1" fieldPosition="0">
        <references count="3">
          <reference field="0" count="1">
            <x v="4"/>
          </reference>
          <reference field="1" count="1" selected="0">
            <x v="2"/>
          </reference>
          <reference field="2" count="1" selected="0">
            <x v="3"/>
          </reference>
        </references>
      </pivotArea>
    </format>
    <format dxfId="24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50C4AE-718D-4562-91C8-EB405692FD7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8:P22" firstHeaderRow="0" firstDataRow="1" firstDataCol="1"/>
  <pivotFields count="7">
    <pivotField showAll="0">
      <items count="6">
        <item x="0"/>
        <item x="1"/>
        <item x="2"/>
        <item x="3"/>
        <item x="4"/>
        <item t="default"/>
      </items>
    </pivotField>
    <pivotField axis="axisRow" showAll="0">
      <items count="4">
        <item x="1"/>
        <item x="2"/>
        <item x="0"/>
        <item t="default"/>
      </items>
    </pivotField>
    <pivotField showAll="0">
      <items count="5">
        <item x="3"/>
        <item x="2"/>
        <item x="0"/>
        <item x="1"/>
        <item t="default"/>
      </items>
    </pivotField>
    <pivotField dataField="1" showAll="0"/>
    <pivotField showAll="0"/>
    <pivotField dataField="1" showAll="0">
      <items count="11">
        <item x="6"/>
        <item x="3"/>
        <item x="2"/>
        <item x="4"/>
        <item x="7"/>
        <item x="8"/>
        <item x="1"/>
        <item x="0"/>
        <item x="5"/>
        <item x="9"/>
        <item t="default"/>
      </items>
    </pivotField>
    <pivotField dataField="1" showAll="0">
      <items count="7">
        <item x="3"/>
        <item x="2"/>
        <item x="1"/>
        <item x="4"/>
        <item x="0"/>
        <item x="5"/>
        <item t="default"/>
      </items>
    </pivotField>
  </pivotFields>
  <rowFields count="1">
    <field x="1"/>
  </rowFields>
  <rowItems count="4">
    <i>
      <x/>
    </i>
    <i>
      <x v="1"/>
    </i>
    <i>
      <x v="2"/>
    </i>
    <i t="grand">
      <x/>
    </i>
  </rowItems>
  <colFields count="1">
    <field x="-2"/>
  </colFields>
  <colItems count="3">
    <i>
      <x/>
    </i>
    <i i="1">
      <x v="1"/>
    </i>
    <i i="2">
      <x v="2"/>
    </i>
  </colItems>
  <dataFields count="3">
    <dataField name="Sum of Units Sold" fld="3" baseField="0" baseItem="0"/>
    <dataField name="Sum of Total Revenue" fld="5" baseField="0" baseItem="0"/>
    <dataField name="Sum of Profit" fld="6" baseField="0" baseItem="0"/>
  </dataFields>
  <formats count="12">
    <format dxfId="186">
      <pivotArea type="all" dataOnly="0" outline="0" fieldPosition="0"/>
    </format>
    <format dxfId="185">
      <pivotArea outline="0" collapsedLevelsAreSubtotals="1" fieldPosition="0"/>
    </format>
    <format dxfId="184">
      <pivotArea field="1" type="button" dataOnly="0" labelOnly="1" outline="0" axis="axisRow" fieldPosition="0"/>
    </format>
    <format dxfId="183">
      <pivotArea dataOnly="0" labelOnly="1" fieldPosition="0">
        <references count="1">
          <reference field="1" count="0"/>
        </references>
      </pivotArea>
    </format>
    <format dxfId="182">
      <pivotArea dataOnly="0" labelOnly="1" grandRow="1" outline="0" fieldPosition="0"/>
    </format>
    <format dxfId="181">
      <pivotArea dataOnly="0" labelOnly="1" outline="0" fieldPosition="0">
        <references count="1">
          <reference field="4294967294" count="3">
            <x v="0"/>
            <x v="1"/>
            <x v="2"/>
          </reference>
        </references>
      </pivotArea>
    </format>
    <format dxfId="180">
      <pivotArea type="all" dataOnly="0" outline="0" fieldPosition="0"/>
    </format>
    <format dxfId="179">
      <pivotArea outline="0" collapsedLevelsAreSubtotals="1" fieldPosition="0"/>
    </format>
    <format dxfId="178">
      <pivotArea field="1" type="button" dataOnly="0" labelOnly="1" outline="0" axis="axisRow" fieldPosition="0"/>
    </format>
    <format dxfId="177">
      <pivotArea dataOnly="0" labelOnly="1" fieldPosition="0">
        <references count="1">
          <reference field="1" count="0"/>
        </references>
      </pivotArea>
    </format>
    <format dxfId="176">
      <pivotArea dataOnly="0" labelOnly="1" grandRow="1" outline="0" fieldPosition="0"/>
    </format>
    <format dxfId="17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9DE1BF-7AC9-4BBA-B2D6-099F1F71819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8:P12" firstHeaderRow="0" firstDataRow="1" firstDataCol="1"/>
  <pivotFields count="7">
    <pivotField showAll="0"/>
    <pivotField axis="axisRow" showAll="0">
      <items count="4">
        <item x="1"/>
        <item x="2"/>
        <item x="0"/>
        <item t="default"/>
      </items>
    </pivotField>
    <pivotField showAll="0"/>
    <pivotField dataField="1" showAll="0"/>
    <pivotField showAll="0"/>
    <pivotField dataField="1" showAll="0"/>
    <pivotField showAll="0"/>
  </pivotFields>
  <rowFields count="1">
    <field x="1"/>
  </rowFields>
  <rowItems count="4">
    <i>
      <x/>
    </i>
    <i>
      <x v="1"/>
    </i>
    <i>
      <x v="2"/>
    </i>
    <i t="grand">
      <x/>
    </i>
  </rowItems>
  <colFields count="1">
    <field x="-2"/>
  </colFields>
  <colItems count="2">
    <i>
      <x/>
    </i>
    <i i="1">
      <x v="1"/>
    </i>
  </colItems>
  <dataFields count="2">
    <dataField name="Sum of Total Revenue" fld="5" baseField="0" baseItem="0"/>
    <dataField name="Sum of Units Sold" fld="3" baseField="0" baseItem="0"/>
  </dataFields>
  <formats count="12">
    <format dxfId="198">
      <pivotArea type="all" dataOnly="0" outline="0" fieldPosition="0"/>
    </format>
    <format dxfId="197">
      <pivotArea outline="0" collapsedLevelsAreSubtotals="1" fieldPosition="0"/>
    </format>
    <format dxfId="196">
      <pivotArea field="1" type="button" dataOnly="0" labelOnly="1" outline="0" axis="axisRow" fieldPosition="0"/>
    </format>
    <format dxfId="195">
      <pivotArea dataOnly="0" labelOnly="1" fieldPosition="0">
        <references count="1">
          <reference field="1" count="0"/>
        </references>
      </pivotArea>
    </format>
    <format dxfId="194">
      <pivotArea dataOnly="0" labelOnly="1" grandRow="1" outline="0" fieldPosition="0"/>
    </format>
    <format dxfId="193">
      <pivotArea dataOnly="0" labelOnly="1" outline="0" fieldPosition="0">
        <references count="1">
          <reference field="4294967294" count="2">
            <x v="0"/>
            <x v="1"/>
          </reference>
        </references>
      </pivotArea>
    </format>
    <format dxfId="192">
      <pivotArea type="all" dataOnly="0" outline="0" fieldPosition="0"/>
    </format>
    <format dxfId="191">
      <pivotArea outline="0" collapsedLevelsAreSubtotals="1" fieldPosition="0"/>
    </format>
    <format dxfId="190">
      <pivotArea field="1" type="button" dataOnly="0" labelOnly="1" outline="0" axis="axisRow" fieldPosition="0"/>
    </format>
    <format dxfId="189">
      <pivotArea dataOnly="0" labelOnly="1" fieldPosition="0">
        <references count="1">
          <reference field="1" count="0"/>
        </references>
      </pivotArea>
    </format>
    <format dxfId="188">
      <pivotArea dataOnly="0" labelOnly="1" grandRow="1" outline="0" fieldPosition="0"/>
    </format>
    <format dxfId="18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60218D-3610-4A13-99DE-48835971DBC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K22" firstHeaderRow="1" firstDataRow="1" firstDataCol="1"/>
  <pivotFields count="7">
    <pivotField axis="axisRow" showAll="0">
      <items count="6">
        <item x="0"/>
        <item x="1"/>
        <item x="2"/>
        <item x="3"/>
        <item x="4"/>
        <item t="default"/>
      </items>
    </pivotField>
    <pivotField axis="axisRow" showAll="0">
      <items count="4">
        <item x="1"/>
        <item x="2"/>
        <item x="0"/>
        <item t="default"/>
      </items>
    </pivotField>
    <pivotField showAll="0">
      <items count="5">
        <item x="3"/>
        <item x="2"/>
        <item x="0"/>
        <item x="1"/>
        <item t="default"/>
      </items>
    </pivotField>
    <pivotField showAll="0"/>
    <pivotField showAll="0"/>
    <pivotField dataField="1" showAll="0"/>
    <pivotField showAll="0"/>
  </pivotFields>
  <rowFields count="2">
    <field x="1"/>
    <field x="0"/>
  </rowFields>
  <rowItems count="14">
    <i>
      <x/>
    </i>
    <i r="1">
      <x/>
    </i>
    <i r="1">
      <x v="2"/>
    </i>
    <i r="1">
      <x v="3"/>
    </i>
    <i>
      <x v="1"/>
    </i>
    <i r="1">
      <x v="1"/>
    </i>
    <i r="1">
      <x v="2"/>
    </i>
    <i r="1">
      <x v="4"/>
    </i>
    <i>
      <x v="2"/>
    </i>
    <i r="1">
      <x/>
    </i>
    <i r="1">
      <x v="1"/>
    </i>
    <i r="1">
      <x v="3"/>
    </i>
    <i r="1">
      <x v="4"/>
    </i>
    <i t="grand">
      <x/>
    </i>
  </rowItems>
  <colItems count="1">
    <i/>
  </colItems>
  <dataFields count="1">
    <dataField name="Sum of Total Revenue" fld="5" baseField="0" baseItem="0"/>
  </dataFields>
  <formats count="18">
    <format dxfId="216">
      <pivotArea type="all" dataOnly="0" outline="0" fieldPosition="0"/>
    </format>
    <format dxfId="215">
      <pivotArea outline="0" collapsedLevelsAreSubtotals="1" fieldPosition="0"/>
    </format>
    <format dxfId="214">
      <pivotArea field="1" type="button" dataOnly="0" labelOnly="1" outline="0" axis="axisRow" fieldPosition="0"/>
    </format>
    <format dxfId="213">
      <pivotArea dataOnly="0" labelOnly="1" fieldPosition="0">
        <references count="1">
          <reference field="1" count="0"/>
        </references>
      </pivotArea>
    </format>
    <format dxfId="212">
      <pivotArea dataOnly="0" labelOnly="1" grandRow="1" outline="0" fieldPosition="0"/>
    </format>
    <format dxfId="211">
      <pivotArea dataOnly="0" labelOnly="1" fieldPosition="0">
        <references count="2">
          <reference field="0" count="3">
            <x v="0"/>
            <x v="2"/>
            <x v="3"/>
          </reference>
          <reference field="1" count="1" selected="0">
            <x v="0"/>
          </reference>
        </references>
      </pivotArea>
    </format>
    <format dxfId="210">
      <pivotArea dataOnly="0" labelOnly="1" fieldPosition="0">
        <references count="2">
          <reference field="0" count="3">
            <x v="1"/>
            <x v="2"/>
            <x v="4"/>
          </reference>
          <reference field="1" count="1" selected="0">
            <x v="1"/>
          </reference>
        </references>
      </pivotArea>
    </format>
    <format dxfId="209">
      <pivotArea dataOnly="0" labelOnly="1" fieldPosition="0">
        <references count="2">
          <reference field="0" count="4">
            <x v="0"/>
            <x v="1"/>
            <x v="3"/>
            <x v="4"/>
          </reference>
          <reference field="1" count="1" selected="0">
            <x v="2"/>
          </reference>
        </references>
      </pivotArea>
    </format>
    <format dxfId="208">
      <pivotArea dataOnly="0" labelOnly="1" outline="0" axis="axisValues" fieldPosition="0"/>
    </format>
    <format dxfId="207">
      <pivotArea type="all" dataOnly="0" outline="0" fieldPosition="0"/>
    </format>
    <format dxfId="206">
      <pivotArea outline="0" collapsedLevelsAreSubtotals="1" fieldPosition="0"/>
    </format>
    <format dxfId="205">
      <pivotArea field="1" type="button" dataOnly="0" labelOnly="1" outline="0" axis="axisRow" fieldPosition="0"/>
    </format>
    <format dxfId="204">
      <pivotArea dataOnly="0" labelOnly="1" fieldPosition="0">
        <references count="1">
          <reference field="1" count="0"/>
        </references>
      </pivotArea>
    </format>
    <format dxfId="203">
      <pivotArea dataOnly="0" labelOnly="1" grandRow="1" outline="0" fieldPosition="0"/>
    </format>
    <format dxfId="202">
      <pivotArea dataOnly="0" labelOnly="1" fieldPosition="0">
        <references count="2">
          <reference field="0" count="3">
            <x v="0"/>
            <x v="2"/>
            <x v="3"/>
          </reference>
          <reference field="1" count="1" selected="0">
            <x v="0"/>
          </reference>
        </references>
      </pivotArea>
    </format>
    <format dxfId="201">
      <pivotArea dataOnly="0" labelOnly="1" fieldPosition="0">
        <references count="2">
          <reference field="0" count="3">
            <x v="1"/>
            <x v="2"/>
            <x v="4"/>
          </reference>
          <reference field="1" count="1" selected="0">
            <x v="1"/>
          </reference>
        </references>
      </pivotArea>
    </format>
    <format dxfId="200">
      <pivotArea dataOnly="0" labelOnly="1" fieldPosition="0">
        <references count="2">
          <reference field="0" count="4">
            <x v="0"/>
            <x v="1"/>
            <x v="3"/>
            <x v="4"/>
          </reference>
          <reference field="1" count="1" selected="0">
            <x v="2"/>
          </reference>
        </references>
      </pivotArea>
    </format>
    <format dxfId="1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793DB5-E52A-435A-A9AF-26F0EA94850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8:H12" firstHeaderRow="0" firstDataRow="1" firstDataCol="1"/>
  <pivotFields count="7">
    <pivotField showAll="0"/>
    <pivotField axis="axisRow" showAll="0">
      <items count="4">
        <item x="1"/>
        <item x="2"/>
        <item x="0"/>
        <item t="default"/>
      </items>
    </pivotField>
    <pivotField showAll="0">
      <items count="5">
        <item x="3"/>
        <item x="2"/>
        <item x="0"/>
        <item x="1"/>
        <item t="default"/>
      </items>
    </pivotField>
    <pivotField dataField="1" showAll="0">
      <items count="9">
        <item x="6"/>
        <item x="2"/>
        <item x="1"/>
        <item x="5"/>
        <item x="4"/>
        <item x="7"/>
        <item x="3"/>
        <item x="0"/>
        <item t="default"/>
      </items>
    </pivotField>
    <pivotField showAll="0"/>
    <pivotField dataField="1" showAll="0">
      <items count="11">
        <item x="6"/>
        <item x="3"/>
        <item x="2"/>
        <item x="4"/>
        <item x="7"/>
        <item x="8"/>
        <item x="1"/>
        <item x="0"/>
        <item x="5"/>
        <item x="9"/>
        <item t="default"/>
      </items>
    </pivotField>
    <pivotField showAll="0"/>
  </pivotFields>
  <rowFields count="1">
    <field x="1"/>
  </rowFields>
  <rowItems count="4">
    <i>
      <x/>
    </i>
    <i>
      <x v="1"/>
    </i>
    <i>
      <x v="2"/>
    </i>
    <i t="grand">
      <x/>
    </i>
  </rowItems>
  <colFields count="1">
    <field x="-2"/>
  </colFields>
  <colItems count="2">
    <i>
      <x/>
    </i>
    <i i="1">
      <x v="1"/>
    </i>
  </colItems>
  <dataFields count="2">
    <dataField name="Sum of Units Sold" fld="3" baseField="0" baseItem="0"/>
    <dataField name="Sum of Total Revenue" fld="5" showDataAs="percentOfCol" baseField="0" baseItem="0" numFmtId="10"/>
  </dataFields>
  <formats count="12">
    <format dxfId="228">
      <pivotArea type="all" dataOnly="0" outline="0" fieldPosition="0"/>
    </format>
    <format dxfId="227">
      <pivotArea outline="0" collapsedLevelsAreSubtotals="1" fieldPosition="0"/>
    </format>
    <format dxfId="226">
      <pivotArea field="1" type="button" dataOnly="0" labelOnly="1" outline="0" axis="axisRow" fieldPosition="0"/>
    </format>
    <format dxfId="225">
      <pivotArea dataOnly="0" labelOnly="1" fieldPosition="0">
        <references count="1">
          <reference field="1" count="0"/>
        </references>
      </pivotArea>
    </format>
    <format dxfId="224">
      <pivotArea dataOnly="0" labelOnly="1" grandRow="1" outline="0" fieldPosition="0"/>
    </format>
    <format dxfId="223">
      <pivotArea dataOnly="0" labelOnly="1" outline="0" fieldPosition="0">
        <references count="1">
          <reference field="4294967294" count="2">
            <x v="0"/>
            <x v="1"/>
          </reference>
        </references>
      </pivotArea>
    </format>
    <format dxfId="222">
      <pivotArea type="all" dataOnly="0" outline="0" fieldPosition="0"/>
    </format>
    <format dxfId="221">
      <pivotArea outline="0" collapsedLevelsAreSubtotals="1" fieldPosition="0"/>
    </format>
    <format dxfId="220">
      <pivotArea field="1" type="button" dataOnly="0" labelOnly="1" outline="0" axis="axisRow" fieldPosition="0"/>
    </format>
    <format dxfId="219">
      <pivotArea dataOnly="0" labelOnly="1" fieldPosition="0">
        <references count="1">
          <reference field="1" count="0"/>
        </references>
      </pivotArea>
    </format>
    <format dxfId="218">
      <pivotArea dataOnly="0" labelOnly="1" grandRow="1" outline="0" fieldPosition="0"/>
    </format>
    <format dxfId="217">
      <pivotArea dataOnly="0" labelOnly="1" outline="0" fieldPosition="0">
        <references count="1">
          <reference field="4294967294" count="2">
            <x v="0"/>
            <x v="1"/>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1"/>
          </reference>
          <reference field="1" count="1" selected="0">
            <x v="0"/>
          </reference>
        </references>
      </pivotArea>
    </chartFormat>
    <chartFormat chart="0" format="6">
      <pivotArea type="data" outline="0" fieldPosition="0">
        <references count="2">
          <reference field="4294967294" count="1" selected="0">
            <x v="1"/>
          </reference>
          <reference field="1" count="1" selected="0">
            <x v="1"/>
          </reference>
        </references>
      </pivotArea>
    </chartFormat>
    <chartFormat chart="0" format="7">
      <pivotArea type="data" outline="0" fieldPosition="0">
        <references count="2">
          <reference field="4294967294" count="1" selected="0">
            <x v="1"/>
          </reference>
          <reference field="1"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 count="1" selected="0">
            <x v="0"/>
          </reference>
        </references>
      </pivotArea>
    </chartFormat>
    <chartFormat chart="5" format="18">
      <pivotArea type="data" outline="0" fieldPosition="0">
        <references count="2">
          <reference field="4294967294" count="1" selected="0">
            <x v="0"/>
          </reference>
          <reference field="1" count="1" selected="0">
            <x v="1"/>
          </reference>
        </references>
      </pivotArea>
    </chartFormat>
    <chartFormat chart="5" format="19">
      <pivotArea type="data" outline="0" fieldPosition="0">
        <references count="2">
          <reference field="4294967294" count="1" selected="0">
            <x v="0"/>
          </reference>
          <reference field="1" count="1" selected="0">
            <x v="2"/>
          </reference>
        </references>
      </pivotArea>
    </chartFormat>
    <chartFormat chart="5" format="20" series="1">
      <pivotArea type="data" outline="0" fieldPosition="0">
        <references count="1">
          <reference field="4294967294" count="1" selected="0">
            <x v="1"/>
          </reference>
        </references>
      </pivotArea>
    </chartFormat>
    <chartFormat chart="5" format="21">
      <pivotArea type="data" outline="0" fieldPosition="0">
        <references count="2">
          <reference field="4294967294" count="1" selected="0">
            <x v="1"/>
          </reference>
          <reference field="1" count="1" selected="0">
            <x v="0"/>
          </reference>
        </references>
      </pivotArea>
    </chartFormat>
    <chartFormat chart="5" format="22">
      <pivotArea type="data" outline="0" fieldPosition="0">
        <references count="2">
          <reference field="4294967294" count="1" selected="0">
            <x v="1"/>
          </reference>
          <reference field="1" count="1" selected="0">
            <x v="1"/>
          </reference>
        </references>
      </pivotArea>
    </chartFormat>
    <chartFormat chart="5" format="23">
      <pivotArea type="data" outline="0" fieldPosition="0">
        <references count="2">
          <reference field="4294967294" count="1" selected="0">
            <x v="1"/>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ADC71E-ECC3-437D-8832-06D81386B80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8:C12" firstHeaderRow="1" firstDataRow="1" firstDataCol="1"/>
  <pivotFields count="7">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x="3"/>
        <item x="2"/>
        <item x="0"/>
        <item x="1"/>
        <item t="default"/>
      </items>
    </pivotField>
    <pivotField showAll="0"/>
    <pivotField showAll="0"/>
    <pivotField dataField="1" showAll="0">
      <items count="11">
        <item x="6"/>
        <item x="3"/>
        <item x="2"/>
        <item x="4"/>
        <item x="7"/>
        <item x="8"/>
        <item x="1"/>
        <item x="0"/>
        <item x="5"/>
        <item x="9"/>
        <item t="default"/>
      </items>
    </pivotField>
    <pivotField showAll="0"/>
  </pivotFields>
  <rowFields count="1">
    <field x="1"/>
  </rowFields>
  <rowItems count="4">
    <i>
      <x v="2"/>
    </i>
    <i>
      <x v="1"/>
    </i>
    <i>
      <x/>
    </i>
    <i t="grand">
      <x/>
    </i>
  </rowItems>
  <colItems count="1">
    <i/>
  </colItems>
  <dataFields count="1">
    <dataField name="Sum of Total Revenue" fld="5" baseField="0" baseItem="0"/>
  </dataFields>
  <formats count="12">
    <format dxfId="240">
      <pivotArea type="all" dataOnly="0" outline="0" fieldPosition="0"/>
    </format>
    <format dxfId="239">
      <pivotArea outline="0" collapsedLevelsAreSubtotals="1" fieldPosition="0"/>
    </format>
    <format dxfId="238">
      <pivotArea field="1" type="button" dataOnly="0" labelOnly="1" outline="0" axis="axisRow" fieldPosition="0"/>
    </format>
    <format dxfId="237">
      <pivotArea dataOnly="0" labelOnly="1" fieldPosition="0">
        <references count="1">
          <reference field="1" count="0"/>
        </references>
      </pivotArea>
    </format>
    <format dxfId="236">
      <pivotArea dataOnly="0" labelOnly="1" grandRow="1" outline="0" fieldPosition="0"/>
    </format>
    <format dxfId="235">
      <pivotArea dataOnly="0" labelOnly="1" outline="0" axis="axisValues" fieldPosition="0"/>
    </format>
    <format dxfId="234">
      <pivotArea type="all" dataOnly="0" outline="0" fieldPosition="0"/>
    </format>
    <format dxfId="233">
      <pivotArea outline="0" collapsedLevelsAreSubtotals="1" fieldPosition="0"/>
    </format>
    <format dxfId="232">
      <pivotArea field="1" type="button" dataOnly="0" labelOnly="1" outline="0" axis="axisRow" fieldPosition="0"/>
    </format>
    <format dxfId="231">
      <pivotArea dataOnly="0" labelOnly="1" fieldPosition="0">
        <references count="1">
          <reference field="1" count="0"/>
        </references>
      </pivotArea>
    </format>
    <format dxfId="230">
      <pivotArea dataOnly="0" labelOnly="1" grandRow="1" outline="0" fieldPosition="0"/>
    </format>
    <format dxfId="22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66E371-0C5D-4A1D-B892-53F7E80D92E4}"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8:I13" firstHeaderRow="1" firstDataRow="1" firstDataCol="1"/>
  <pivotFields count="9">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6"/>
        <item x="3"/>
        <item x="2"/>
        <item x="4"/>
        <item x="7"/>
        <item x="8"/>
        <item x="1"/>
        <item x="0"/>
        <item x="5"/>
        <item x="9"/>
        <item t="default"/>
      </items>
    </pivotField>
    <pivotField showAll="0"/>
    <pivotField dragToRow="0" dragToCol="0" dragToPage="0" showAll="0" defaultSubtotal="0"/>
    <pivotField dataField="1" dragToRow="0" dragToCol="0" dragToPage="0" showAll="0" defaultSubtotal="0"/>
  </pivotFields>
  <rowFields count="1">
    <field x="2"/>
  </rowFields>
  <rowItems count="5">
    <i>
      <x v="2"/>
    </i>
    <i>
      <x v="3"/>
    </i>
    <i>
      <x v="1"/>
    </i>
    <i>
      <x/>
    </i>
    <i t="grand">
      <x/>
    </i>
  </rowItems>
  <colItems count="1">
    <i/>
  </colItems>
  <dataFields count="1">
    <dataField name="Sum of profit/revenue" fld="8" baseField="0" baseItem="0"/>
  </dataFields>
  <formats count="16">
    <format dxfId="126">
      <pivotArea collapsedLevelsAreSubtotals="1" fieldPosition="0">
        <references count="1">
          <reference field="2" count="1">
            <x v="0"/>
          </reference>
        </references>
      </pivotArea>
    </format>
    <format dxfId="125">
      <pivotArea collapsedLevelsAreSubtotals="1" fieldPosition="0">
        <references count="1">
          <reference field="2" count="1">
            <x v="1"/>
          </reference>
        </references>
      </pivotArea>
    </format>
    <format dxfId="124">
      <pivotArea collapsedLevelsAreSubtotals="1" fieldPosition="0">
        <references count="1">
          <reference field="2" count="2">
            <x v="2"/>
            <x v="3"/>
          </reference>
        </references>
      </pivotArea>
    </format>
    <format dxfId="123">
      <pivotArea grandRow="1" outline="0" collapsedLevelsAreSubtotals="1" fieldPosition="0"/>
    </format>
    <format dxfId="122">
      <pivotArea type="all" dataOnly="0" outline="0" fieldPosition="0"/>
    </format>
    <format dxfId="121">
      <pivotArea outline="0" collapsedLevelsAreSubtotals="1" fieldPosition="0"/>
    </format>
    <format dxfId="120">
      <pivotArea field="2" type="button" dataOnly="0" labelOnly="1" outline="0" axis="axisRow" fieldPosition="0"/>
    </format>
    <format dxfId="119">
      <pivotArea dataOnly="0" labelOnly="1" fieldPosition="0">
        <references count="1">
          <reference field="2" count="0"/>
        </references>
      </pivotArea>
    </format>
    <format dxfId="118">
      <pivotArea dataOnly="0" labelOnly="1" grandRow="1" outline="0"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2" type="button" dataOnly="0" labelOnly="1" outline="0" axis="axisRow" fieldPosition="0"/>
    </format>
    <format dxfId="113">
      <pivotArea dataOnly="0" labelOnly="1" fieldPosition="0">
        <references count="1">
          <reference field="2" count="0"/>
        </references>
      </pivotArea>
    </format>
    <format dxfId="112">
      <pivotArea dataOnly="0" labelOnly="1" grandRow="1" outline="0" fieldPosition="0"/>
    </format>
    <format dxfId="11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CA34B6-5984-47BA-896E-5B11DE6A900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8:C13" firstHeaderRow="1" firstDataRow="1" firstDataCol="1"/>
  <pivotFields count="7">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dataField="1" showAll="0">
      <items count="9">
        <item x="6"/>
        <item x="2"/>
        <item x="1"/>
        <item x="5"/>
        <item x="4"/>
        <item x="7"/>
        <item x="3"/>
        <item x="0"/>
        <item t="default"/>
      </items>
    </pivotField>
    <pivotField showAll="0"/>
    <pivotField showAll="0"/>
    <pivotField showAll="0"/>
  </pivotFields>
  <rowFields count="1">
    <field x="2"/>
  </rowFields>
  <rowItems count="5">
    <i>
      <x v="2"/>
    </i>
    <i>
      <x v="3"/>
    </i>
    <i>
      <x/>
    </i>
    <i>
      <x v="1"/>
    </i>
    <i t="grand">
      <x/>
    </i>
  </rowItems>
  <colItems count="1">
    <i/>
  </colItems>
  <dataFields count="1">
    <dataField name="Sum of Units Sold" fld="3" baseField="0" baseItem="0"/>
  </dataFields>
  <formats count="12">
    <format dxfId="138">
      <pivotArea type="all" dataOnly="0" outline="0" fieldPosition="0"/>
    </format>
    <format dxfId="137">
      <pivotArea outline="0" collapsedLevelsAreSubtotals="1" fieldPosition="0"/>
    </format>
    <format dxfId="136">
      <pivotArea field="2" type="button" dataOnly="0" labelOnly="1" outline="0" axis="axisRow" fieldPosition="0"/>
    </format>
    <format dxfId="135">
      <pivotArea dataOnly="0" labelOnly="1" fieldPosition="0">
        <references count="1">
          <reference field="2" count="0"/>
        </references>
      </pivotArea>
    </format>
    <format dxfId="134">
      <pivotArea dataOnly="0" labelOnly="1" grandRow="1" outline="0"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2" type="button" dataOnly="0" labelOnly="1" outline="0" axis="axisRow" fieldPosition="0"/>
    </format>
    <format dxfId="129">
      <pivotArea dataOnly="0" labelOnly="1" fieldPosition="0">
        <references count="1">
          <reference field="2" count="0"/>
        </references>
      </pivotArea>
    </format>
    <format dxfId="128">
      <pivotArea dataOnly="0" labelOnly="1" grandRow="1" outline="0" fieldPosition="0"/>
    </format>
    <format dxfId="12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813D30-DD63-4972-A7CA-E1849CE48A58}"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7:P22" firstHeaderRow="0" firstDataRow="1" firstDataCol="1"/>
  <pivotFields count="9">
    <pivotField showAll="0"/>
    <pivotField showAll="0"/>
    <pivotField axis="axisRow" showAll="0">
      <items count="5">
        <item x="3"/>
        <item x="2"/>
        <item x="0"/>
        <item x="1"/>
        <item t="default"/>
      </items>
    </pivotField>
    <pivotField dataField="1" showAll="0"/>
    <pivotField showAll="0"/>
    <pivotField dataField="1" showAll="0"/>
    <pivotField dataField="1" showAll="0"/>
    <pivotField dragToRow="0" dragToCol="0" dragToPage="0" showAll="0" defaultSubtotal="0"/>
    <pivotField dataField="1" dragToRow="0" dragToCol="0" dragToPage="0" showAll="0" defaultSubtotal="0"/>
  </pivotFields>
  <rowFields count="1">
    <field x="2"/>
  </rowFields>
  <rowItems count="5">
    <i>
      <x/>
    </i>
    <i>
      <x v="1"/>
    </i>
    <i>
      <x v="2"/>
    </i>
    <i>
      <x v="3"/>
    </i>
    <i t="grand">
      <x/>
    </i>
  </rowItems>
  <colFields count="1">
    <field x="-2"/>
  </colFields>
  <colItems count="4">
    <i>
      <x/>
    </i>
    <i i="1">
      <x v="1"/>
    </i>
    <i i="2">
      <x v="2"/>
    </i>
    <i i="3">
      <x v="3"/>
    </i>
  </colItems>
  <dataFields count="4">
    <dataField name="Sum of Units Sold" fld="3" baseField="0" baseItem="0"/>
    <dataField name="Sum of Total Revenue" fld="5" baseField="0" baseItem="0"/>
    <dataField name="Sum of Profit" fld="6" baseField="0" baseItem="0"/>
    <dataField name="Average of profit/revenue" fld="8" subtotal="average" baseField="2" baseItem="0" numFmtId="10"/>
  </dataFields>
  <formats count="13">
    <format dxfId="151">
      <pivotArea outline="0" collapsedLevelsAreSubtotals="1" fieldPosition="0">
        <references count="1">
          <reference field="4294967294" count="1" selected="0">
            <x v="3"/>
          </reference>
        </references>
      </pivotArea>
    </format>
    <format dxfId="150">
      <pivotArea type="all" dataOnly="0" outline="0" fieldPosition="0"/>
    </format>
    <format dxfId="149">
      <pivotArea outline="0" collapsedLevelsAreSubtotals="1" fieldPosition="0"/>
    </format>
    <format dxfId="148">
      <pivotArea field="2" type="button" dataOnly="0" labelOnly="1" outline="0" axis="axisRow" fieldPosition="0"/>
    </format>
    <format dxfId="147">
      <pivotArea dataOnly="0" labelOnly="1" fieldPosition="0">
        <references count="1">
          <reference field="2" count="0"/>
        </references>
      </pivotArea>
    </format>
    <format dxfId="146">
      <pivotArea dataOnly="0" labelOnly="1" grandRow="1" outline="0" fieldPosition="0"/>
    </format>
    <format dxfId="145">
      <pivotArea dataOnly="0" labelOnly="1" outline="0" fieldPosition="0">
        <references count="1">
          <reference field="4294967294" count="4">
            <x v="0"/>
            <x v="1"/>
            <x v="2"/>
            <x v="3"/>
          </reference>
        </references>
      </pivotArea>
    </format>
    <format dxfId="144">
      <pivotArea type="all" dataOnly="0" outline="0" fieldPosition="0"/>
    </format>
    <format dxfId="143">
      <pivotArea outline="0" collapsedLevelsAreSubtotals="1" fieldPosition="0"/>
    </format>
    <format dxfId="142">
      <pivotArea field="2" type="button" dataOnly="0" labelOnly="1" outline="0" axis="axisRow" fieldPosition="0"/>
    </format>
    <format dxfId="141">
      <pivotArea dataOnly="0" labelOnly="1" fieldPosition="0">
        <references count="1">
          <reference field="2" count="0"/>
        </references>
      </pivotArea>
    </format>
    <format dxfId="140">
      <pivotArea dataOnly="0" labelOnly="1" grandRow="1" outline="0" fieldPosition="0"/>
    </format>
    <format dxfId="13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D9F979-C0BC-401A-814B-15456B6EBDCE}"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8:S24" firstHeaderRow="1" firstDataRow="1" firstDataCol="1"/>
  <pivotFields count="9">
    <pivotField axis="axisRow" showAll="0">
      <items count="6">
        <item x="0"/>
        <item x="1"/>
        <item x="2"/>
        <item x="3"/>
        <item x="4"/>
        <item t="default"/>
      </items>
    </pivotField>
    <pivotField axis="axisRow" showAll="0">
      <items count="4">
        <item x="1"/>
        <item x="2"/>
        <item x="0"/>
        <item t="default"/>
      </items>
    </pivotField>
    <pivotField dataField="1" showAll="0">
      <items count="5">
        <item x="3"/>
        <item x="2"/>
        <item x="0"/>
        <item x="1"/>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2">
    <field x="0"/>
    <field x="1"/>
  </rowFields>
  <rowItems count="16">
    <i>
      <x/>
    </i>
    <i r="1">
      <x/>
    </i>
    <i r="1">
      <x v="2"/>
    </i>
    <i>
      <x v="1"/>
    </i>
    <i r="1">
      <x v="1"/>
    </i>
    <i r="1">
      <x v="2"/>
    </i>
    <i>
      <x v="2"/>
    </i>
    <i r="1">
      <x/>
    </i>
    <i r="1">
      <x v="1"/>
    </i>
    <i>
      <x v="3"/>
    </i>
    <i r="1">
      <x/>
    </i>
    <i r="1">
      <x v="2"/>
    </i>
    <i>
      <x v="4"/>
    </i>
    <i r="1">
      <x v="1"/>
    </i>
    <i r="1">
      <x v="2"/>
    </i>
    <i t="grand">
      <x/>
    </i>
  </rowItems>
  <colItems count="1">
    <i/>
  </colItems>
  <dataFields count="1">
    <dataField name="Count of Product Type" fld="2" subtotal="count" baseField="0" baseItem="0"/>
  </dataFields>
  <formats count="11">
    <format dxfId="162">
      <pivotArea type="all" dataOnly="0" outline="0" fieldPosition="0"/>
    </format>
    <format dxfId="161">
      <pivotArea outline="0" collapsedLevelsAreSubtotals="1" fieldPosition="0"/>
    </format>
    <format dxfId="160">
      <pivotArea field="0" type="button" dataOnly="0" labelOnly="1" outline="0" axis="axisRow" fieldPosition="0"/>
    </format>
    <format dxfId="159">
      <pivotArea dataOnly="0" labelOnly="1" fieldPosition="0">
        <references count="1">
          <reference field="0" count="0"/>
        </references>
      </pivotArea>
    </format>
    <format dxfId="158">
      <pivotArea dataOnly="0" labelOnly="1" grandRow="1" outline="0" fieldPosition="0"/>
    </format>
    <format dxfId="157">
      <pivotArea dataOnly="0" labelOnly="1" fieldPosition="0">
        <references count="2">
          <reference field="0" count="1" selected="0">
            <x v="0"/>
          </reference>
          <reference field="1" count="2">
            <x v="0"/>
            <x v="2"/>
          </reference>
        </references>
      </pivotArea>
    </format>
    <format dxfId="156">
      <pivotArea dataOnly="0" labelOnly="1" fieldPosition="0">
        <references count="2">
          <reference field="0" count="1" selected="0">
            <x v="1"/>
          </reference>
          <reference field="1" count="2">
            <x v="1"/>
            <x v="2"/>
          </reference>
        </references>
      </pivotArea>
    </format>
    <format dxfId="155">
      <pivotArea dataOnly="0" labelOnly="1" fieldPosition="0">
        <references count="2">
          <reference field="0" count="1" selected="0">
            <x v="2"/>
          </reference>
          <reference field="1" count="2">
            <x v="0"/>
            <x v="1"/>
          </reference>
        </references>
      </pivotArea>
    </format>
    <format dxfId="154">
      <pivotArea dataOnly="0" labelOnly="1" fieldPosition="0">
        <references count="2">
          <reference field="0" count="1" selected="0">
            <x v="3"/>
          </reference>
          <reference field="1" count="2">
            <x v="0"/>
            <x v="2"/>
          </reference>
        </references>
      </pivotArea>
    </format>
    <format dxfId="153">
      <pivotArea dataOnly="0" labelOnly="1" fieldPosition="0">
        <references count="2">
          <reference field="0" count="1" selected="0">
            <x v="4"/>
          </reference>
          <reference field="1" count="2">
            <x v="1"/>
            <x v="2"/>
          </reference>
        </references>
      </pivotArea>
    </format>
    <format dxfId="1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D89BB01-0AD6-4CA0-896A-D738BB91A539}"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N13" firstHeaderRow="0" firstDataRow="1" firstDataCol="1"/>
  <pivotFields count="9">
    <pivotField showAll="0"/>
    <pivotField showAll="0"/>
    <pivotField axis="axisRow" showAll="0" sortType="descending">
      <items count="5">
        <item x="3"/>
        <item x="2"/>
        <item x="0"/>
        <item x="1"/>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dataField="1" showAll="0"/>
    <pivotField dragToRow="0" dragToCol="0" dragToPage="0" showAll="0" defaultSubtotal="0"/>
    <pivotField dragToRow="0" dragToCol="0" dragToPage="0" showAll="0" defaultSubtotal="0"/>
  </pivotFields>
  <rowFields count="1">
    <field x="2"/>
  </rowFields>
  <rowItems count="5">
    <i>
      <x v="3"/>
    </i>
    <i>
      <x v="2"/>
    </i>
    <i>
      <x/>
    </i>
    <i>
      <x v="1"/>
    </i>
    <i t="grand">
      <x/>
    </i>
  </rowItems>
  <colFields count="1">
    <field x="-2"/>
  </colFields>
  <colItems count="2">
    <i>
      <x/>
    </i>
    <i i="1">
      <x v="1"/>
    </i>
  </colItems>
  <dataFields count="2">
    <dataField name="Sum of Units Sold" fld="3" baseField="0" baseItem="0"/>
    <dataField name="Sum of Profit" fld="6" baseField="0" baseItem="0"/>
  </dataFields>
  <formats count="12">
    <format dxfId="174">
      <pivotArea type="all" dataOnly="0" outline="0" fieldPosition="0"/>
    </format>
    <format dxfId="173">
      <pivotArea outline="0" collapsedLevelsAreSubtotals="1" fieldPosition="0"/>
    </format>
    <format dxfId="172">
      <pivotArea field="2" type="button" dataOnly="0" labelOnly="1" outline="0" axis="axisRow" fieldPosition="0"/>
    </format>
    <format dxfId="171">
      <pivotArea dataOnly="0" labelOnly="1" fieldPosition="0">
        <references count="1">
          <reference field="2" count="0"/>
        </references>
      </pivotArea>
    </format>
    <format dxfId="170">
      <pivotArea dataOnly="0" labelOnly="1" grandRow="1" outline="0" fieldPosition="0"/>
    </format>
    <format dxfId="169">
      <pivotArea dataOnly="0" labelOnly="1" outline="0" fieldPosition="0">
        <references count="1">
          <reference field="4294967294" count="2">
            <x v="0"/>
            <x v="1"/>
          </reference>
        </references>
      </pivotArea>
    </format>
    <format dxfId="168">
      <pivotArea type="all" dataOnly="0" outline="0" fieldPosition="0"/>
    </format>
    <format dxfId="167">
      <pivotArea outline="0" collapsedLevelsAreSubtotals="1" fieldPosition="0"/>
    </format>
    <format dxfId="166">
      <pivotArea field="2" type="button" dataOnly="0" labelOnly="1" outline="0" axis="axisRow" fieldPosition="0"/>
    </format>
    <format dxfId="165">
      <pivotArea dataOnly="0" labelOnly="1" fieldPosition="0">
        <references count="1">
          <reference field="2" count="0"/>
        </references>
      </pivotArea>
    </format>
    <format dxfId="164">
      <pivotArea dataOnly="0" labelOnly="1" grandRow="1" outline="0" fieldPosition="0"/>
    </format>
    <format dxfId="16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785C44-EE24-40BE-BD5F-B34CAABD2BC1}" name="PivotTable3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5:D37" firstHeaderRow="1" firstDataRow="1" firstDataCol="1"/>
  <pivotFields count="10">
    <pivotField showAll="0"/>
    <pivotField showAll="0"/>
    <pivotField showAll="0"/>
    <pivotField showAll="0"/>
    <pivotField showAll="0"/>
    <pivotField dataField="1" showAll="0"/>
    <pivotField showAll="0"/>
    <pivotField showAll="0"/>
    <pivotField showAll="0"/>
    <pivotField axis="axisRow" showAll="0">
      <items count="3">
        <item x="0"/>
        <item h="1" x="1"/>
        <item t="default"/>
      </items>
    </pivotField>
  </pivotFields>
  <rowFields count="1">
    <field x="9"/>
  </rowFields>
  <rowItems count="2">
    <i>
      <x/>
    </i>
    <i t="grand">
      <x/>
    </i>
  </rowItems>
  <colItems count="1">
    <i/>
  </colItems>
  <dataFields count="1">
    <dataField name="Sum of Total Revenue" fld="5" baseField="0" baseItem="0"/>
  </dataFields>
  <formats count="12">
    <format dxfId="42">
      <pivotArea type="all" dataOnly="0" outline="0" fieldPosition="0"/>
    </format>
    <format dxfId="41">
      <pivotArea outline="0" collapsedLevelsAreSubtotals="1" fieldPosition="0"/>
    </format>
    <format dxfId="40">
      <pivotArea field="9" type="button" dataOnly="0" labelOnly="1" outline="0" axis="axisRow" fieldPosition="0"/>
    </format>
    <format dxfId="39">
      <pivotArea dataOnly="0" labelOnly="1" fieldPosition="0">
        <references count="1">
          <reference field="9" count="0"/>
        </references>
      </pivotArea>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9" type="button" dataOnly="0" labelOnly="1" outline="0" axis="axisRow" fieldPosition="0"/>
    </format>
    <format dxfId="33">
      <pivotArea dataOnly="0" labelOnly="1" fieldPosition="0">
        <references count="1">
          <reference field="9" count="0"/>
        </references>
      </pivotArea>
    </format>
    <format dxfId="32">
      <pivotArea dataOnly="0" labelOnly="1" grandRow="1" outline="0"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3E8FDBD-5548-4D87-99E0-A8BEA5AE4E8D}" name="PivotTable3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20:J31" firstHeaderRow="1" firstDataRow="1" firstDataCol="1"/>
  <pivotFields count="10">
    <pivotField axis="axisRow" showAll="0">
      <items count="7">
        <item x="0"/>
        <item x="1"/>
        <item x="2"/>
        <item x="3"/>
        <item x="4"/>
        <item x="5"/>
        <item t="default"/>
      </items>
    </pivotField>
    <pivotField showAll="0"/>
    <pivotField showAll="0"/>
    <pivotField showAll="0"/>
    <pivotField showAll="0"/>
    <pivotField dataField="1" showAll="0">
      <items count="12">
        <item x="6"/>
        <item x="3"/>
        <item x="2"/>
        <item x="4"/>
        <item x="7"/>
        <item x="8"/>
        <item x="1"/>
        <item x="0"/>
        <item x="5"/>
        <item x="9"/>
        <item x="10"/>
        <item t="default"/>
      </items>
    </pivotField>
    <pivotField showAll="0"/>
    <pivotField showAll="0"/>
    <pivotField showAll="0">
      <items count="4">
        <item x="0"/>
        <item x="1"/>
        <item x="2"/>
        <item t="default"/>
      </items>
    </pivotField>
    <pivotField axis="axisRow" showAll="0">
      <items count="3">
        <item x="0"/>
        <item h="1" x="1"/>
        <item t="default"/>
      </items>
    </pivotField>
  </pivotFields>
  <rowFields count="2">
    <field x="0"/>
    <field x="9"/>
  </rowFields>
  <rowItems count="11">
    <i>
      <x/>
    </i>
    <i r="1">
      <x/>
    </i>
    <i>
      <x v="1"/>
    </i>
    <i r="1">
      <x/>
    </i>
    <i>
      <x v="2"/>
    </i>
    <i r="1">
      <x/>
    </i>
    <i>
      <x v="3"/>
    </i>
    <i r="1">
      <x/>
    </i>
    <i>
      <x v="4"/>
    </i>
    <i r="1">
      <x/>
    </i>
    <i t="grand">
      <x/>
    </i>
  </rowItems>
  <colItems count="1">
    <i/>
  </colItems>
  <dataFields count="1">
    <dataField name="Sum of Total Revenue" fld="5" baseField="0" baseItem="0"/>
  </dataFields>
  <formats count="22">
    <format dxfId="64">
      <pivotArea type="all" dataOnly="0" outline="0" fieldPosition="0"/>
    </format>
    <format dxfId="63">
      <pivotArea outline="0" collapsedLevelsAreSubtotals="1" fieldPosition="0"/>
    </format>
    <format dxfId="62">
      <pivotArea field="0" type="button" dataOnly="0" labelOnly="1" outline="0" axis="axisRow" fieldPosition="0"/>
    </format>
    <format dxfId="61">
      <pivotArea dataOnly="0" labelOnly="1" fieldPosition="0">
        <references count="1">
          <reference field="0" count="5">
            <x v="0"/>
            <x v="1"/>
            <x v="2"/>
            <x v="3"/>
            <x v="4"/>
          </reference>
        </references>
      </pivotArea>
    </format>
    <format dxfId="60">
      <pivotArea dataOnly="0" labelOnly="1" grandRow="1" outline="0" fieldPosition="0"/>
    </format>
    <format dxfId="59">
      <pivotArea dataOnly="0" labelOnly="1" fieldPosition="0">
        <references count="2">
          <reference field="0" count="1" selected="0">
            <x v="0"/>
          </reference>
          <reference field="9" count="0"/>
        </references>
      </pivotArea>
    </format>
    <format dxfId="58">
      <pivotArea dataOnly="0" labelOnly="1" fieldPosition="0">
        <references count="2">
          <reference field="0" count="1" selected="0">
            <x v="1"/>
          </reference>
          <reference field="9" count="0"/>
        </references>
      </pivotArea>
    </format>
    <format dxfId="57">
      <pivotArea dataOnly="0" labelOnly="1" fieldPosition="0">
        <references count="2">
          <reference field="0" count="1" selected="0">
            <x v="2"/>
          </reference>
          <reference field="9" count="0"/>
        </references>
      </pivotArea>
    </format>
    <format dxfId="56">
      <pivotArea dataOnly="0" labelOnly="1" fieldPosition="0">
        <references count="2">
          <reference field="0" count="1" selected="0">
            <x v="3"/>
          </reference>
          <reference field="9" count="0"/>
        </references>
      </pivotArea>
    </format>
    <format dxfId="55">
      <pivotArea dataOnly="0" labelOnly="1" fieldPosition="0">
        <references count="2">
          <reference field="0" count="1" selected="0">
            <x v="4"/>
          </reference>
          <reference field="9" count="0"/>
        </references>
      </pivotArea>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fieldPosition="0">
        <references count="1">
          <reference field="0" count="5">
            <x v="0"/>
            <x v="1"/>
            <x v="2"/>
            <x v="3"/>
            <x v="4"/>
          </reference>
        </references>
      </pivotArea>
    </format>
    <format dxfId="49">
      <pivotArea dataOnly="0" labelOnly="1" grandRow="1" outline="0" fieldPosition="0"/>
    </format>
    <format dxfId="48">
      <pivotArea dataOnly="0" labelOnly="1" fieldPosition="0">
        <references count="2">
          <reference field="0" count="1" selected="0">
            <x v="0"/>
          </reference>
          <reference field="9" count="0"/>
        </references>
      </pivotArea>
    </format>
    <format dxfId="47">
      <pivotArea dataOnly="0" labelOnly="1" fieldPosition="0">
        <references count="2">
          <reference field="0" count="1" selected="0">
            <x v="1"/>
          </reference>
          <reference field="9" count="0"/>
        </references>
      </pivotArea>
    </format>
    <format dxfId="46">
      <pivotArea dataOnly="0" labelOnly="1" fieldPosition="0">
        <references count="2">
          <reference field="0" count="1" selected="0">
            <x v="2"/>
          </reference>
          <reference field="9" count="0"/>
        </references>
      </pivotArea>
    </format>
    <format dxfId="45">
      <pivotArea dataOnly="0" labelOnly="1" fieldPosition="0">
        <references count="2">
          <reference field="0" count="1" selected="0">
            <x v="3"/>
          </reference>
          <reference field="9" count="0"/>
        </references>
      </pivotArea>
    </format>
    <format dxfId="44">
      <pivotArea dataOnly="0" labelOnly="1" fieldPosition="0">
        <references count="2">
          <reference field="0" count="1" selected="0">
            <x v="4"/>
          </reference>
          <reference field="9" count="0"/>
        </references>
      </pivotArea>
    </format>
    <format dxfId="4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C0A2C0-AC7F-43A4-BCE8-BDCE85BFB9D3}" name="PivotTable2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J12" firstHeaderRow="1" firstDataRow="1" firstDataCol="1"/>
  <pivotFields count="9">
    <pivotField showAll="0"/>
    <pivotField showAll="0"/>
    <pivotField showAll="0"/>
    <pivotField showAll="0"/>
    <pivotField showAll="0"/>
    <pivotField showAll="0"/>
    <pivotField dataField="1" showAll="0"/>
    <pivotField showAll="0"/>
    <pivotField axis="axisRow" showAll="0">
      <items count="3">
        <item x="0"/>
        <item x="1"/>
        <item t="default"/>
      </items>
    </pivotField>
  </pivotFields>
  <rowFields count="1">
    <field x="8"/>
  </rowFields>
  <rowItems count="3">
    <i>
      <x/>
    </i>
    <i>
      <x v="1"/>
    </i>
    <i t="grand">
      <x/>
    </i>
  </rowItems>
  <colItems count="1">
    <i/>
  </colItems>
  <dataFields count="1">
    <dataField name="Sum of Profit" fld="6" baseField="0" baseItem="0"/>
  </dataFields>
  <formats count="12">
    <format dxfId="76">
      <pivotArea type="all" dataOnly="0" outline="0" fieldPosition="0"/>
    </format>
    <format dxfId="75">
      <pivotArea outline="0" collapsedLevelsAreSubtotals="1" fieldPosition="0"/>
    </format>
    <format dxfId="74">
      <pivotArea field="8" type="button" dataOnly="0" labelOnly="1" outline="0" axis="axisRow" fieldPosition="0"/>
    </format>
    <format dxfId="73">
      <pivotArea dataOnly="0" labelOnly="1" fieldPosition="0">
        <references count="1">
          <reference field="8" count="0"/>
        </references>
      </pivotArea>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8" type="button" dataOnly="0" labelOnly="1" outline="0" axis="axisRow" fieldPosition="0"/>
    </format>
    <format dxfId="67">
      <pivotArea dataOnly="0" labelOnly="1" fieldPosition="0">
        <references count="1">
          <reference field="8" count="0"/>
        </references>
      </pivotArea>
    </format>
    <format dxfId="66">
      <pivotArea dataOnly="0" labelOnly="1" grandRow="1" outline="0"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E5231E9-5617-42A1-B861-BE81D08D6C3D}" name="PivotTable2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9:D16" firstHeaderRow="1" firstDataRow="1" firstDataCol="1"/>
  <pivotFields count="8">
    <pivotField showAll="0"/>
    <pivotField showAll="0"/>
    <pivotField showAll="0"/>
    <pivotField showAll="0"/>
    <pivotField showAll="0"/>
    <pivotField dataField="1" showAll="0">
      <items count="12">
        <item x="6"/>
        <item x="3"/>
        <item x="2"/>
        <item x="4"/>
        <item x="7"/>
        <item x="8"/>
        <item x="1"/>
        <item x="0"/>
        <item x="5"/>
        <item x="9"/>
        <item x="10"/>
        <item t="default"/>
      </items>
    </pivotField>
    <pivotField showAll="0"/>
    <pivotField axis="axisRow" showAll="0" sortType="descending">
      <items count="7">
        <item x="4"/>
        <item x="0"/>
        <item x="1"/>
        <item x="2"/>
        <item x="3"/>
        <item x="5"/>
        <item t="default"/>
      </items>
      <autoSortScope>
        <pivotArea dataOnly="0" outline="0" fieldPosition="0">
          <references count="1">
            <reference field="4294967294" count="1" selected="0">
              <x v="0"/>
            </reference>
          </references>
        </pivotArea>
      </autoSortScope>
    </pivotField>
  </pivotFields>
  <rowFields count="1">
    <field x="7"/>
  </rowFields>
  <rowItems count="7">
    <i>
      <x/>
    </i>
    <i>
      <x v="1"/>
    </i>
    <i>
      <x v="3"/>
    </i>
    <i>
      <x v="2"/>
    </i>
    <i>
      <x v="4"/>
    </i>
    <i>
      <x v="5"/>
    </i>
    <i t="grand">
      <x/>
    </i>
  </rowItems>
  <colItems count="1">
    <i/>
  </colItems>
  <dataFields count="1">
    <dataField name="Sum of Total Revenue" fld="5" baseField="0" baseItem="0"/>
  </dataFields>
  <formats count="12">
    <format dxfId="88">
      <pivotArea type="all" dataOnly="0" outline="0" fieldPosition="0"/>
    </format>
    <format dxfId="87">
      <pivotArea outline="0" collapsedLevelsAreSubtotals="1" fieldPosition="0"/>
    </format>
    <format dxfId="86">
      <pivotArea field="7" type="button" dataOnly="0" labelOnly="1" outline="0" axis="axisRow" fieldPosition="0"/>
    </format>
    <format dxfId="85">
      <pivotArea dataOnly="0" labelOnly="1" fieldPosition="0">
        <references count="1">
          <reference field="7" count="0"/>
        </references>
      </pivotArea>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7" type="button" dataOnly="0" labelOnly="1" outline="0" axis="axisRow" fieldPosition="0"/>
    </format>
    <format dxfId="79">
      <pivotArea dataOnly="0" labelOnly="1" fieldPosition="0">
        <references count="1">
          <reference field="7" count="0"/>
        </references>
      </pivotArea>
    </format>
    <format dxfId="78">
      <pivotArea dataOnly="0" labelOnly="1" grandRow="1" outline="0" fieldPosition="0"/>
    </format>
    <format dxfId="77">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8990443-D772-495E-B7A4-45327AF82F00}" name="PivotTable3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3:J50" firstHeaderRow="1" firstDataRow="1" firstDataCol="1"/>
  <pivotFields count="10">
    <pivotField axis="axisRow" showAll="0">
      <items count="7">
        <item x="0"/>
        <item x="1"/>
        <item x="2"/>
        <item x="3"/>
        <item x="4"/>
        <item x="5"/>
        <item t="default"/>
      </items>
    </pivotField>
    <pivotField showAll="0"/>
    <pivotField axis="axisRow" showAll="0">
      <items count="6">
        <item x="3"/>
        <item x="2"/>
        <item x="0"/>
        <item x="1"/>
        <item x="4"/>
        <item t="default"/>
      </items>
    </pivotField>
    <pivotField showAll="0"/>
    <pivotField showAll="0"/>
    <pivotField dataField="1" showAll="0"/>
    <pivotField showAll="0"/>
    <pivotField showAll="0"/>
    <pivotField showAll="0"/>
    <pivotField showAll="0">
      <items count="3">
        <item x="0"/>
        <item h="1" x="1"/>
        <item t="default"/>
      </items>
    </pivotField>
  </pivotFields>
  <rowFields count="2">
    <field x="2"/>
    <field x="0"/>
  </rowFields>
  <rowItems count="17">
    <i>
      <x/>
    </i>
    <i r="1">
      <x v="1"/>
    </i>
    <i r="1">
      <x v="3"/>
    </i>
    <i>
      <x v="1"/>
    </i>
    <i r="1">
      <x v="1"/>
    </i>
    <i r="1">
      <x v="3"/>
    </i>
    <i>
      <x v="2"/>
    </i>
    <i r="1">
      <x/>
    </i>
    <i r="1">
      <x v="2"/>
    </i>
    <i r="1">
      <x v="4"/>
    </i>
    <i>
      <x v="3"/>
    </i>
    <i r="1">
      <x/>
    </i>
    <i r="1">
      <x v="2"/>
    </i>
    <i r="1">
      <x v="4"/>
    </i>
    <i>
      <x v="4"/>
    </i>
    <i r="1">
      <x v="5"/>
    </i>
    <i t="grand">
      <x/>
    </i>
  </rowItems>
  <colItems count="1">
    <i/>
  </colItems>
  <dataFields count="1">
    <dataField name="Sum of Total Revenue" fld="5" baseField="0" baseItem="0"/>
  </dataFields>
  <formats count="22">
    <format dxfId="110">
      <pivotArea type="all" dataOnly="0" outline="0" fieldPosition="0"/>
    </format>
    <format dxfId="109">
      <pivotArea outline="0" collapsedLevelsAreSubtotals="1" fieldPosition="0"/>
    </format>
    <format dxfId="108">
      <pivotArea field="2" type="button" dataOnly="0" labelOnly="1" outline="0" axis="axisRow" fieldPosition="0"/>
    </format>
    <format dxfId="107">
      <pivotArea dataOnly="0" labelOnly="1" fieldPosition="0">
        <references count="1">
          <reference field="2" count="0"/>
        </references>
      </pivotArea>
    </format>
    <format dxfId="106">
      <pivotArea dataOnly="0" labelOnly="1" grandRow="1" outline="0" fieldPosition="0"/>
    </format>
    <format dxfId="105">
      <pivotArea dataOnly="0" labelOnly="1" fieldPosition="0">
        <references count="2">
          <reference field="0" count="2">
            <x v="1"/>
            <x v="3"/>
          </reference>
          <reference field="2" count="1" selected="0">
            <x v="0"/>
          </reference>
        </references>
      </pivotArea>
    </format>
    <format dxfId="104">
      <pivotArea dataOnly="0" labelOnly="1" fieldPosition="0">
        <references count="2">
          <reference field="0" count="2">
            <x v="1"/>
            <x v="3"/>
          </reference>
          <reference field="2" count="1" selected="0">
            <x v="1"/>
          </reference>
        </references>
      </pivotArea>
    </format>
    <format dxfId="103">
      <pivotArea dataOnly="0" labelOnly="1" fieldPosition="0">
        <references count="2">
          <reference field="0" count="3">
            <x v="0"/>
            <x v="2"/>
            <x v="4"/>
          </reference>
          <reference field="2" count="1" selected="0">
            <x v="2"/>
          </reference>
        </references>
      </pivotArea>
    </format>
    <format dxfId="102">
      <pivotArea dataOnly="0" labelOnly="1" fieldPosition="0">
        <references count="2">
          <reference field="0" count="3">
            <x v="0"/>
            <x v="2"/>
            <x v="4"/>
          </reference>
          <reference field="2" count="1" selected="0">
            <x v="3"/>
          </reference>
        </references>
      </pivotArea>
    </format>
    <format dxfId="101">
      <pivotArea dataOnly="0" labelOnly="1" fieldPosition="0">
        <references count="2">
          <reference field="0" count="1">
            <x v="5"/>
          </reference>
          <reference field="2" count="1" selected="0">
            <x v="4"/>
          </reference>
        </references>
      </pivotArea>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field="2" type="button" dataOnly="0" labelOnly="1" outline="0" axis="axisRow" fieldPosition="0"/>
    </format>
    <format dxfId="96">
      <pivotArea dataOnly="0" labelOnly="1" fieldPosition="0">
        <references count="1">
          <reference field="2" count="0"/>
        </references>
      </pivotArea>
    </format>
    <format dxfId="95">
      <pivotArea dataOnly="0" labelOnly="1" grandRow="1" outline="0" fieldPosition="0"/>
    </format>
    <format dxfId="94">
      <pivotArea dataOnly="0" labelOnly="1" fieldPosition="0">
        <references count="2">
          <reference field="0" count="2">
            <x v="1"/>
            <x v="3"/>
          </reference>
          <reference field="2" count="1" selected="0">
            <x v="0"/>
          </reference>
        </references>
      </pivotArea>
    </format>
    <format dxfId="93">
      <pivotArea dataOnly="0" labelOnly="1" fieldPosition="0">
        <references count="2">
          <reference field="0" count="2">
            <x v="1"/>
            <x v="3"/>
          </reference>
          <reference field="2" count="1" selected="0">
            <x v="1"/>
          </reference>
        </references>
      </pivotArea>
    </format>
    <format dxfId="92">
      <pivotArea dataOnly="0" labelOnly="1" fieldPosition="0">
        <references count="2">
          <reference field="0" count="3">
            <x v="0"/>
            <x v="2"/>
            <x v="4"/>
          </reference>
          <reference field="2" count="1" selected="0">
            <x v="2"/>
          </reference>
        </references>
      </pivotArea>
    </format>
    <format dxfId="91">
      <pivotArea dataOnly="0" labelOnly="1" fieldPosition="0">
        <references count="2">
          <reference field="0" count="3">
            <x v="0"/>
            <x v="2"/>
            <x v="4"/>
          </reference>
          <reference field="2" count="1" selected="0">
            <x v="3"/>
          </reference>
        </references>
      </pivotArea>
    </format>
    <format dxfId="90">
      <pivotArea dataOnly="0" labelOnly="1" fieldPosition="0">
        <references count="2">
          <reference field="0" count="1">
            <x v="5"/>
          </reference>
          <reference field="2" count="1" selected="0">
            <x v="4"/>
          </reference>
        </references>
      </pivotArea>
    </format>
    <format dxfId="8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8E7C96D-C069-4290-8F4E-C935656A1208}" name="PivotTable4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C19" firstHeaderRow="1" firstDataRow="1" firstDataCol="1"/>
  <pivotFields count="8">
    <pivotField showAll="0"/>
    <pivotField axis="axisRow" showAll="0">
      <items count="11">
        <item x="0"/>
        <item x="1"/>
        <item x="2"/>
        <item x="3"/>
        <item x="4"/>
        <item x="5"/>
        <item x="6"/>
        <item x="7"/>
        <item x="8"/>
        <item x="9"/>
        <item t="default"/>
      </items>
    </pivotField>
    <pivotField showAll="0"/>
    <pivotField showAll="0"/>
    <pivotField dataField="1"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Units Sold" fld="4" baseField="0" baseItem="0"/>
  </dataFields>
  <formats count="8">
    <format dxfId="7">
      <pivotArea dataOnly="0" labelOnly="1" outline="0" axis="axisValues" fieldPosition="0"/>
    </format>
    <format dxfId="6">
      <pivotArea field="1" type="button" dataOnly="0" labelOnly="1" outline="0" axis="axisRow"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CD0399B-2894-4B59-96D7-3869163E5737}" name="PivotTable4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9:I20" firstHeaderRow="1" firstDataRow="1" firstDataCol="1"/>
  <pivotFields count="9">
    <pivotField showAll="0"/>
    <pivotField showAll="0"/>
    <pivotField showAll="0"/>
    <pivotField showAll="0"/>
    <pivotField showAll="0"/>
    <pivotField showAll="0"/>
    <pivotField dataField="1" showAll="0">
      <items count="11">
        <item x="6"/>
        <item x="3"/>
        <item x="2"/>
        <item x="4"/>
        <item x="7"/>
        <item x="8"/>
        <item x="1"/>
        <item x="0"/>
        <item x="5"/>
        <item x="9"/>
        <item t="default"/>
      </items>
    </pivotField>
    <pivotField showAll="0"/>
    <pivotField axis="axisRow" showAll="0">
      <items count="11">
        <item x="9"/>
        <item x="1"/>
        <item x="7"/>
        <item x="4"/>
        <item x="0"/>
        <item x="2"/>
        <item x="3"/>
        <item x="8"/>
        <item x="6"/>
        <item x="5"/>
        <item t="default"/>
      </items>
    </pivotField>
  </pivotFields>
  <rowFields count="1">
    <field x="8"/>
  </rowFields>
  <rowItems count="11">
    <i>
      <x/>
    </i>
    <i>
      <x v="1"/>
    </i>
    <i>
      <x v="2"/>
    </i>
    <i>
      <x v="3"/>
    </i>
    <i>
      <x v="4"/>
    </i>
    <i>
      <x v="5"/>
    </i>
    <i>
      <x v="6"/>
    </i>
    <i>
      <x v="7"/>
    </i>
    <i>
      <x v="8"/>
    </i>
    <i>
      <x v="9"/>
    </i>
    <i t="grand">
      <x/>
    </i>
  </rowItems>
  <colItems count="1">
    <i/>
  </colItems>
  <dataFields count="1">
    <dataField name="Sum of Total Revenue" fld="6" baseField="0" baseItem="0"/>
  </dataFields>
  <formats count="8">
    <format dxfId="15">
      <pivotArea field="8" type="button" dataOnly="0" labelOnly="1" outline="0" axis="axisRow"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8" type="button" dataOnly="0" labelOnly="1" outline="0" axis="axisRow" fieldPosition="0"/>
    </format>
    <format dxfId="10">
      <pivotArea dataOnly="0" labelOnly="1" fieldPosition="0">
        <references count="1">
          <reference field="8" count="0"/>
        </references>
      </pivotArea>
    </format>
    <format dxfId="9">
      <pivotArea dataOnly="0" labelOnly="1" grandRow="1" outline="0" fieldPosition="0"/>
    </format>
    <format dxfId="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9B0CA9E-9452-4195-A2F6-467DFD6A138D}" name="PivotTable4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C35" firstHeaderRow="1" firstDataRow="1" firstDataCol="1"/>
  <pivotFields count="9">
    <pivotField showAll="0"/>
    <pivotField dataField="1" showAll="0"/>
    <pivotField showAll="0"/>
    <pivotField showAll="0"/>
    <pivotField showAll="0"/>
    <pivotField showAll="0"/>
    <pivotField showAll="0"/>
    <pivotField showAll="0"/>
    <pivotField axis="axisRow" showAll="0" measureFilter="1">
      <items count="11">
        <item x="9"/>
        <item x="1"/>
        <item x="7"/>
        <item x="4"/>
        <item x="0"/>
        <item x="2"/>
        <item x="3"/>
        <item x="8"/>
        <item x="6"/>
        <item x="5"/>
        <item t="default"/>
      </items>
    </pivotField>
  </pivotFields>
  <rowFields count="1">
    <field x="8"/>
  </rowFields>
  <rowItems count="10">
    <i>
      <x/>
    </i>
    <i>
      <x v="1"/>
    </i>
    <i>
      <x v="2"/>
    </i>
    <i>
      <x v="3"/>
    </i>
    <i>
      <x v="5"/>
    </i>
    <i>
      <x v="6"/>
    </i>
    <i>
      <x v="7"/>
    </i>
    <i>
      <x v="8"/>
    </i>
    <i>
      <x v="9"/>
    </i>
    <i t="grand">
      <x/>
    </i>
  </rowItems>
  <colItems count="1">
    <i/>
  </colItems>
  <dataFields count="1">
    <dataField name="Sum of order id" fld="1" baseField="0" baseItem="0"/>
  </dataFields>
  <formats count="5">
    <format dxfId="20">
      <pivotArea field="8" type="button" dataOnly="0" labelOnly="1" outline="0" axis="axisRow" fieldPosition="0"/>
    </format>
    <format dxfId="19">
      <pivotArea dataOnly="0" labelOnly="1" outline="0" axis="axisValues" fieldPosition="0"/>
    </format>
    <format dxfId="18">
      <pivotArea outline="0" collapsedLevelsAreSubtotals="1" fieldPosition="0"/>
    </format>
    <format dxfId="17">
      <pivotArea dataOnly="0" labelOnly="1" fieldPosition="0">
        <references count="1">
          <reference field="8" count="9">
            <x v="0"/>
            <x v="1"/>
            <x v="2"/>
            <x v="3"/>
            <x v="5"/>
            <x v="6"/>
            <x v="7"/>
            <x v="8"/>
            <x v="9"/>
          </reference>
        </references>
      </pivotArea>
    </format>
    <format dxfId="16">
      <pivotArea dataOnly="0" labelOnly="1" grandRow="1" outline="0" fieldPosition="0"/>
    </format>
  </formats>
  <pivotTableStyleInfo name="PivotStyleLight16" showRowHeaders="1" showColHeaders="1" showRowStripes="0" showColStripes="0" showLastColumn="1"/>
  <filters count="1">
    <filter fld="8" type="valueGreaterThanOrEqual" evalOrder="-1" id="1" iMeasureFld="0">
      <autoFilter ref="A1">
        <filterColumn colId="0">
          <customFilters>
            <customFilter operator="greaterThanOrEqual" val="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385FC32-90F0-4C7D-A272-49CB385B0F95}" name="PivotTable4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8:N40" firstHeaderRow="0" firstDataRow="1" firstDataCol="1"/>
  <pivotFields count="11">
    <pivotField showAll="0"/>
    <pivotField showAll="0"/>
    <pivotField axis="axisRow" showAll="0">
      <items count="12">
        <item x="7"/>
        <item x="0"/>
        <item x="6"/>
        <item x="9"/>
        <item x="1"/>
        <item x="3"/>
        <item x="8"/>
        <item x="4"/>
        <item x="2"/>
        <item x="5"/>
        <item x="10"/>
        <item t="default"/>
      </items>
    </pivotField>
    <pivotField showAll="0"/>
    <pivotField showAll="0"/>
    <pivotField showAll="0"/>
    <pivotField showAll="0"/>
    <pivotField showAll="0"/>
    <pivotField dataField="1" showAll="0"/>
    <pivotField showAll="0"/>
    <pivotField dataField="1"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Average of Average Profit Margin" fld="10" subtotal="average" baseField="2" baseItem="0"/>
    <dataField name="Sum of Profit" fld="8" baseField="0" baseItem="0"/>
  </dataFields>
  <formats count="7">
    <format dxfId="27">
      <pivotArea collapsedLevelsAreSubtotals="1" fieldPosition="0">
        <references count="1">
          <reference field="2" count="10">
            <x v="0"/>
            <x v="1"/>
            <x v="2"/>
            <x v="3"/>
            <x v="4"/>
            <x v="5"/>
            <x v="6"/>
            <x v="7"/>
            <x v="8"/>
            <x v="9"/>
          </reference>
        </references>
      </pivotArea>
    </format>
    <format dxfId="26">
      <pivotArea type="all" dataOnly="0" outline="0" fieldPosition="0"/>
    </format>
    <format dxfId="25">
      <pivotArea outline="0" collapsedLevelsAreSubtotals="1" fieldPosition="0"/>
    </format>
    <format dxfId="24">
      <pivotArea field="2" type="button" dataOnly="0" labelOnly="1" outline="0" axis="axisRow" fieldPosition="0"/>
    </format>
    <format dxfId="23">
      <pivotArea dataOnly="0" labelOnly="1" fieldPosition="0">
        <references count="1">
          <reference field="2" count="0"/>
        </references>
      </pivotArea>
    </format>
    <format dxfId="22">
      <pivotArea dataOnly="0" labelOnly="1" grandRow="1" outline="0" fieldPosition="0"/>
    </format>
    <format dxfId="21">
      <pivotArea dataOnly="0" labelOnly="1" outline="0" fieldPosition="0">
        <references count="1">
          <reference field="4294967294" count="2">
            <x v="0"/>
            <x v="1"/>
          </reference>
        </references>
      </pivotArea>
    </format>
  </formats>
  <conditionalFormats count="4">
    <conditionalFormat priority="1">
      <pivotAreas count="1">
        <pivotArea type="data" collapsedLevelsAreSubtotals="1" fieldPosition="0">
          <references count="1">
            <reference field="2" count="10">
              <x v="0"/>
              <x v="1"/>
              <x v="2"/>
              <x v="3"/>
              <x v="4"/>
              <x v="5"/>
              <x v="6"/>
              <x v="7"/>
              <x v="8"/>
              <x v="9"/>
            </reference>
          </references>
        </pivotArea>
      </pivotAreas>
    </conditionalFormat>
    <conditionalFormat priority="2">
      <pivotAreas count="1">
        <pivotArea type="data" collapsedLevelsAreSubtotals="1" fieldPosition="0">
          <references count="1">
            <reference field="2" count="10">
              <x v="0"/>
              <x v="1"/>
              <x v="2"/>
              <x v="3"/>
              <x v="4"/>
              <x v="5"/>
              <x v="6"/>
              <x v="7"/>
              <x v="8"/>
              <x v="9"/>
            </reference>
          </references>
        </pivotArea>
      </pivotAreas>
    </conditionalFormat>
    <conditionalFormat priority="3">
      <pivotAreas count="1">
        <pivotArea type="data" collapsedLevelsAreSubtotals="1" fieldPosition="0">
          <references count="1">
            <reference field="2" count="10">
              <x v="0"/>
              <x v="1"/>
              <x v="2"/>
              <x v="3"/>
              <x v="4"/>
              <x v="5"/>
              <x v="6"/>
              <x v="7"/>
              <x v="8"/>
              <x v="9"/>
            </reference>
          </references>
        </pivotArea>
      </pivotAreas>
    </conditionalFormat>
    <conditionalFormat priority="4">
      <pivotAreas count="1">
        <pivotArea type="data" collapsedLevelsAreSubtotals="1" fieldPosition="0">
          <references count="1">
            <reference field="2"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 xr10:uid="{3C1B909E-2978-4CC1-8C75-1746DAB0056B}" sourceName="Total Revenue">
  <pivotTables>
    <pivotTable tabId="12" name="PivotTable40"/>
  </pivotTables>
  <data>
    <tabular pivotCacheId="349114944">
      <items count="10">
        <i x="6" s="1"/>
        <i x="3" s="1"/>
        <i x="2" s="1"/>
        <i x="4" s="1"/>
        <i x="7" s="1"/>
        <i x="8" s="1"/>
        <i x="1" s="1"/>
        <i x="0" s="1"/>
        <i x="5"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5F3381CA-4707-4D25-9BD1-53CBADE10960}" sourceName="customer name">
  <pivotTables>
    <pivotTable tabId="12" name="PivotTable40"/>
  </pivotTables>
  <data>
    <tabular pivotCacheId="349114944">
      <items count="10">
        <i x="9" s="1"/>
        <i x="1" s="1"/>
        <i x="7" s="1"/>
        <i x="4" s="1"/>
        <i x="0" s="1"/>
        <i x="2" s="1"/>
        <i x="3" s="1"/>
        <i x="8"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Weekend" xr10:uid="{600A9080-90FC-4BE1-B65E-C8B0C1B0ED24}" sourceName="Weekday/Weekend">
  <pivotTables>
    <pivotTable tabId="11" name="PivotTable31"/>
  </pivotTables>
  <data>
    <tabular pivotCacheId="1979025713">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s" xr10:uid="{B15D3AF2-C77E-4117-A278-63FA69ABC17D}" sourceName="Weekdays">
  <pivotTables>
    <pivotTable tabId="11" name="PivotTable28"/>
  </pivotTables>
  <data>
    <tabular pivotCacheId="1373957201">
      <items count="6">
        <i x="4" s="1"/>
        <i x="0" s="1"/>
        <i x="1" s="1"/>
        <i x="2" s="1"/>
        <i x="3"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797285D2-705E-4E16-BEF9-B5303A59AAC7}" sourceName="Product Type">
  <pivotTables>
    <pivotTable tabId="4" name="PivotTable24"/>
  </pivotTables>
  <data>
    <tabular pivotCacheId="1514135839">
      <items count="4">
        <i x="3" s="1"/>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1" xr10:uid="{BB402CF3-CDE5-4EEF-B5F0-16F5DA1EB405}" sourceName="Product Type">
  <pivotTables>
    <pivotTable tabId="4" name="PivotTable9"/>
  </pivotTables>
  <data>
    <tabular pivotCacheId="2075872367">
      <items count="4">
        <i x="3" s="1"/>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1" xr10:uid="{A07B7E06-C704-47E3-B26C-791AE1230464}" sourceName="Total Revenue">
  <pivotTables>
    <pivotTable tabId="11" name="PivotTable31"/>
  </pivotTables>
  <data>
    <tabular pivotCacheId="1979025713">
      <items count="11">
        <i x="6" s="1"/>
        <i x="3" s="1"/>
        <i x="2" s="1"/>
        <i x="4" s="1"/>
        <i x="7" s="1"/>
        <i x="8" s="1"/>
        <i x="1" s="1"/>
        <i x="0" s="1"/>
        <i x="5" s="1"/>
        <i x="9" s="1"/>
        <i x="1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2" xr10:uid="{BC4A90D9-E6F5-4734-AE41-B0312248CF37}" sourceName="Total Revenue">
  <pivotTables>
    <pivotTable tabId="11" name="PivotTable28"/>
  </pivotTables>
  <data>
    <tabular pivotCacheId="1373957201">
      <items count="11">
        <i x="6" s="1"/>
        <i x="3" s="1"/>
        <i x="2" s="1"/>
        <i x="4" s="1"/>
        <i x="7" s="1"/>
        <i x="8" s="1"/>
        <i x="1" s="1"/>
        <i x="0" s="1"/>
        <i x="5" s="1"/>
        <i x="9" s="1"/>
        <i x="10"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2FC892E6-55BE-4D5C-A21C-81416C10BF08}" sourceName="Date">
  <pivotTables>
    <pivotTable tabId="11" name="PivotTable31"/>
  </pivotTables>
  <data>
    <tabular pivotCacheId="1979025713">
      <items count="6">
        <i x="0" s="1"/>
        <i x="1" s="1"/>
        <i x="2" s="1"/>
        <i x="3" s="1"/>
        <i x="4" s="1"/>
        <i x="5"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 xr10:uid="{52384609-5484-4748-960D-D60C9259D58B}" sourceName="Units Sold">
  <pivotTables>
    <pivotTable tabId="4" name="PivotTable9"/>
  </pivotTables>
  <data>
    <tabular pivotCacheId="2075872367">
      <items count="8">
        <i x="6" s="1"/>
        <i x="2" s="1"/>
        <i x="1" s="1"/>
        <i x="5" s="1"/>
        <i x="4" s="1"/>
        <i x="7" s="1"/>
        <i x="3"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3" xr10:uid="{29E96203-83A8-4473-836B-B0F85E29E9A2}" sourceName="Total Revenue">
  <pivotTables>
    <pivotTable tabId="4" name="PivotTable24"/>
  </pivotTables>
  <data>
    <tabular pivotCacheId="1514135839">
      <items count="10">
        <i x="6" s="1"/>
        <i x="3" s="1"/>
        <i x="2" s="1"/>
        <i x="4" s="1"/>
        <i x="7" s="1"/>
        <i x="8" s="1"/>
        <i x="1" s="1"/>
        <i x="0" s="1"/>
        <i x="5" s="1"/>
        <i x="9"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1" xr10:uid="{10D6E846-5613-4328-8F13-179A7272AFDF}" sourceName="Units Sold">
  <pivotTables>
    <pivotTable tabId="3" name="PivotTable5"/>
  </pivotTables>
  <data>
    <tabular pivotCacheId="2075872367">
      <items count="8">
        <i x="6" s="1"/>
        <i x="2" s="1"/>
        <i x="1" s="1"/>
        <i x="5" s="1"/>
        <i x="4" s="1"/>
        <i x="7" s="1"/>
        <i x="3"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4" xr10:uid="{22463D34-C1AF-4BD5-93D8-607F0E6D57AE}" sourceName="Total Revenue">
  <pivotTables>
    <pivotTable tabId="3" name="PivotTable5"/>
  </pivotTables>
  <data>
    <tabular pivotCacheId="2075872367">
      <items count="10">
        <i x="6" s="1"/>
        <i x="3" s="1"/>
        <i x="2" s="1"/>
        <i x="4" s="1"/>
        <i x="7" s="1"/>
        <i x="8" s="1"/>
        <i x="1" s="1"/>
        <i x="0" s="1"/>
        <i x="5" s="1"/>
        <i x="9"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6716BA4A-0045-4B54-AFEA-82D590DEDAC1}" sourceName="Store Location">
  <pivotTables>
    <pivotTable tabId="3" name="PivotTable5"/>
  </pivotTables>
  <data>
    <tabular pivotCacheId="2075872367">
      <items count="3">
        <i x="1" s="1"/>
        <i x="2"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1" xr10:uid="{B60EFD82-7BEF-4A02-A8C2-1D2AE1A54C74}" sourceName="Store Location">
  <pivotTables>
    <pivotTable tabId="3" name="PivotTable3"/>
  </pivotTables>
  <data>
    <tabular pivotCacheId="2075872367">
      <items count="3">
        <i x="1" s="1"/>
        <i x="2" s="1"/>
        <i x="0"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5" xr10:uid="{CDA32C8D-7F9F-49F6-A762-00ECDDB7EFB9}" sourceName="Total Revenue">
  <pivotTables>
    <pivotTable tabId="3" name="PivotTable3"/>
  </pivotTables>
  <data>
    <tabular pivotCacheId="2075872367">
      <items count="10">
        <i x="6" s="1"/>
        <i x="3" s="1"/>
        <i x="2" s="1"/>
        <i x="4" s="1"/>
        <i x="7" s="1"/>
        <i x="8" s="1"/>
        <i x="1" s="1"/>
        <i x="0" s="1"/>
        <i x="5" s="1"/>
        <i x="9"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C6F83D3B-6ECB-4354-897A-B6A7D6D4618F}" sourceName="Date">
  <pivotTables>
    <pivotTable tabId="2" name="PivotTable1"/>
  </pivotTables>
  <data>
    <tabular pivotCacheId="2075872367">
      <items count="5">
        <i x="0" s="1"/>
        <i x="1" s="1"/>
        <i x="2" s="1"/>
        <i x="3" s="1"/>
        <i x="4"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2" xr10:uid="{23C6B98B-24CE-4182-8ECA-72F770914163}" sourceName="Store Location">
  <pivotTables>
    <pivotTable tabId="2" name="PivotTable1"/>
  </pivotTables>
  <data>
    <tabular pivotCacheId="2075872367">
      <items count="3">
        <i x="1" s="1"/>
        <i x="2" s="1"/>
        <i x="0"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6" xr10:uid="{E69299D0-4C09-44A4-B3F0-143526A67557}" sourceName="Total Revenue">
  <pivotTables>
    <pivotTable tabId="2" name="PivotTable1"/>
  </pivotTables>
  <data>
    <tabular pivotCacheId="2075872367">
      <items count="10">
        <i x="6" s="1"/>
        <i x="3" s="1"/>
        <i x="2" s="1"/>
        <i x="4" s="1"/>
        <i x="7" s="1"/>
        <i x="8" s="1"/>
        <i x="1" s="1"/>
        <i x="0" s="1"/>
        <i x="5" s="1"/>
        <i x="9"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2" xr10:uid="{285A5FBE-1FD8-4C0A-A541-A3F61F65765F}" sourceName="Product Type">
  <pivotTables>
    <pivotTable tabId="2" name="PivotTable1"/>
  </pivotTables>
  <data>
    <tabular pivotCacheId="2075872367">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032C912E-9BB2-4072-8E11-CFD16404A0D1}" cache="Slicer_Date1" caption="Date" rowHeight="234950"/>
  <slicer name="Store Location 2" xr10:uid="{52C5C991-87E7-481A-AAD0-DF95598FF6AA}" cache="Slicer_Store_Location2" caption="Store Location" rowHeight="234950"/>
  <slicer name="Total Revenue 6" xr10:uid="{763F3316-45C8-4971-AF06-AFE891229B0A}" cache="Slicer_Total_Revenue6" caption="Total Revenue" rowHeight="234950"/>
  <slicer name="Product Type 2" xr10:uid="{1395687B-01FB-48F0-9CC5-849F6702BF84}" cache="Slicer_Product_Type2" caption="Product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s Sold 1" xr10:uid="{AAD7E3B2-1747-45BE-AA92-82277E8826E1}" cache="Slicer_Units_Sold1" caption="Units Sold" rowHeight="234950"/>
  <slicer name="Total Revenue 4" xr10:uid="{5534795E-3306-462A-BEA0-33CDCD5BC5A6}" cache="Slicer_Total_Revenue4" caption="Total Revenue" rowHeight="234950"/>
  <slicer name="Store Location" xr10:uid="{07EF9E8C-16CF-40EF-891C-94892781A1F1}" cache="Slicer_Store_Location" caption="Store Location" rowHeight="234950"/>
  <slicer name="Store Location 1" xr10:uid="{53023A5D-69B7-4175-B991-175989C39595}" cache="Slicer_Store_Location1" caption="Store Location" rowHeight="234950"/>
  <slicer name="Total Revenue 5" xr10:uid="{F9341772-5F13-4726-89EF-31B2DC4E72E3}" cache="Slicer_Total_Revenue5" caption="Total Revenu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F55F4CDB-D559-4F13-8E96-08A3109819DB}" cache="Slicer_Product_Type" caption="Product Type" rowHeight="234950"/>
  <slicer name="Product Type 1" xr10:uid="{D16DC898-90CE-4872-B890-F5D0CD6EC764}" cache="Slicer_Product_Type1" caption="Product Type" rowHeight="234950"/>
  <slicer name="Units Sold" xr10:uid="{6A2E5083-1AFD-4700-A63C-8A95C71F8F20}" cache="Slicer_Units_Sold" caption="Units Sold" rowHeight="234950"/>
  <slicer name="Total Revenue 3" xr10:uid="{F4D51C17-F3DA-4110-A7E3-BD2F24F32166}" cache="Slicer_Total_Revenue3" caption="Total Revenu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Weekend" xr10:uid="{FFDB42A4-ECD8-449E-897B-96AC06E06D31}" cache="Slicer_Weekday_Weekend" caption="Weekday/Weekend" rowHeight="234950"/>
  <slicer name="Weekdays" xr10:uid="{35D27EB1-615A-4E8F-8747-74A8720C9D28}" cache="Slicer_Weekdays" caption="Weekdays" rowHeight="234950"/>
  <slicer name="Total Revenue 1" xr10:uid="{CCEEE91D-1E44-46FF-A5C5-34BC10F6D49A}" cache="Slicer_Total_Revenue1" caption="Total Revenue" rowHeight="234950"/>
  <slicer name="Total Revenue 2" xr10:uid="{3822A2A3-219B-4045-BBC6-82CFD8C157A2}" cache="Slicer_Total_Revenue2" caption="Total Revenue" rowHeight="234950"/>
  <slicer name="Date" xr10:uid="{8D2BB1E3-2D5E-48DE-84AD-3EE24C40484D}" cache="Slicer_Date" caption="Dat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Revenue" xr10:uid="{212262A8-F7B5-4FCB-A74D-C8A9828C52DE}" cache="Slicer_Total_Revenue" caption="Total Revenue" rowHeight="234950"/>
  <slicer name="customer name" xr10:uid="{99C2A627-381D-43B1-A8A0-450A7932B613}" cache="Slicer_customer_name" caption="customer name"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Revenue 13" xr10:uid="{235E213A-4773-4BF4-919D-0F2D956DE226}" cache="Slicer_Total_Revenue" caption="Total Revenue" rowHeight="234950"/>
  <slicer name="customer name 1" xr10:uid="{2044583E-9590-4E9B-958A-46050B956954}" cache="Slicer_customer_name" caption="customer name" rowHeight="234950"/>
  <slicer name="Weekday/Weekend 1" xr10:uid="{9AE28695-996D-422E-BBFC-942FC9F8171A}" cache="Slicer_Weekday_Weekend" caption="Weekday/Weekend" rowHeight="234950"/>
  <slicer name="Weekdays 1" xr10:uid="{D56E05A8-3E7F-444F-AC85-DA2571A11814}" cache="Slicer_Weekdays" caption="Weekdays" rowHeight="234950"/>
  <slicer name="Product Type 4" xr10:uid="{C5370BE2-C233-488C-A099-65B19485EC94}" cache="Slicer_Product_Type1" caption="Product Type" rowHeight="234950"/>
  <slicer name="Product Type 5" xr10:uid="{B4A8661B-9551-41E5-8793-686D659016FD}" cache="Slicer_Product_Type1" caption="Product Type" rowHeight="234950"/>
  <slicer name="Date 3" xr10:uid="{6EAEC166-F296-4831-963E-6EEC7A81C6FB}" cache="Slicer_Date" caption="Date" rowHeight="234950"/>
  <slicer name="Units Sold 2" xr10:uid="{DCCAC101-380A-490A-AAA1-EFCBA0F88B7A}" cache="Slicer_Units_Sold1" caption="Units Sold" rowHeight="234950"/>
  <slicer name="Units Sold 3" xr10:uid="{2154788E-0596-4D10-B64E-9BD71AF2485D}" cache="Slicer_Units_Sold1" caption="Units Sold" rowHeight="234950"/>
  <slicer name="Total Revenue 9" xr10:uid="{4649C791-B197-4A8D-AB86-D1C177B0BC68}" cache="Slicer_Total_Revenue4" caption="Total Revenue" rowHeight="234950"/>
  <slicer name="Total Revenue 10" xr10:uid="{C48EED97-EBB4-40BE-8AA6-0A5A248A8CD8}" cache="Slicer_Total_Revenue4" caption="Total Revenue" rowHeight="234950"/>
  <slicer name="Total Revenue 11" xr10:uid="{081275EA-77D1-4EA3-8296-C90CA9F41F4E}" cache="Slicer_Total_Revenue4" caption="Total Revenue" rowHeight="234950"/>
  <slicer name="Total Revenue 12" xr10:uid="{EAAF0332-6A97-41F9-9BE5-39E43B0A816E}" cache="Slicer_Total_Revenue4" caption="Total Revenue" rowHeight="234950"/>
  <slicer name="Store Location 5" xr10:uid="{74CB9AED-E178-4A5B-B7CA-9304AE5EAEBE}" cache="Slicer_Store_Location" caption="Store Location" rowHeight="234950"/>
  <slicer name="Store Location 4" xr10:uid="{C9468490-A53C-4FEC-B5F5-2CBDE6BF6EAB}" cache="Slicer_Store_Location1" caption="Store Location" rowHeight="234950"/>
  <slicer name="Total Revenue 8" xr10:uid="{007187EF-4E70-4C87-ADA8-EE91EB5AAD91}" cache="Slicer_Total_Revenue5" caption="Total Revenue" rowHeight="234950"/>
  <slicer name="Date 2" xr10:uid="{C17A0A32-AA08-4F0A-B815-7A74B958AC47}" cache="Slicer_Date1" caption="Date" rowHeight="234950"/>
  <slicer name="Store Location 3" xr10:uid="{4B9628EA-7526-49C3-8CC4-3A35FB01BDEE}" cache="Slicer_Store_Location2" caption="Store Location" rowHeight="234950"/>
  <slicer name="Total Revenue 7" xr10:uid="{AEB3CE0F-D92A-4AFC-9889-25A7AE06A731}" cache="Slicer_Total_Revenue6" caption="Total Revenue" rowHeight="234950"/>
  <slicer name="Product Type 3" xr10:uid="{2A662C27-D4A9-4916-9E71-AAF348D4DC3B}" cache="Slicer_Product_Type2" caption="Product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BD2E22-A651-4876-85F4-C2B37D2857D4}" name="project" displayName="project" ref="A1:H12" totalsRowCount="1" headerRowDxfId="263" headerRowBorderDxfId="262" tableBorderDxfId="261">
  <tableColumns count="8">
    <tableColumn id="1" xr3:uid="{CE63BBDB-6A24-4BD6-BC67-EDFBCC23B60B}" name="Date" totalsRowLabel="Total"/>
    <tableColumn id="2" xr3:uid="{9E3E7AE8-68D8-4C73-9275-396048E25AA0}" name="Store Location"/>
    <tableColumn id="3" xr3:uid="{CBDADC91-60ED-478C-B38E-D29E59187274}" name="Product Type"/>
    <tableColumn id="4" xr3:uid="{6E70DC0E-03AA-4DF7-A368-3F004962AC5A}" name="Units Sold"/>
    <tableColumn id="5" xr3:uid="{FB67669E-586F-49AC-A245-D13D163AE1CD}" name="Unit Price"/>
    <tableColumn id="6" xr3:uid="{C781DEF5-C158-484E-A65D-5E7F67E8EC20}" name="Total Revenue"/>
    <tableColumn id="7" xr3:uid="{C9B03798-0C95-45C6-AECC-C0EB5578E5C9}" name="Profit" totalsRowFunction="sum"/>
    <tableColumn id="8" xr3:uid="{3ABB11AA-5C73-4ECC-BDEB-08DAFDE557D1}" name="Sum of profit/revenu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Custom 1">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3.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microsoft.com/office/2007/relationships/slicer" Target="../slicers/slicer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4.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microsoft.com/office/2007/relationships/slicer" Target="../slicers/slicer5.xml"/><Relationship Id="rId5" Type="http://schemas.openxmlformats.org/officeDocument/2006/relationships/drawing" Target="../drawings/drawing5.xml"/><Relationship Id="rId4" Type="http://schemas.openxmlformats.org/officeDocument/2006/relationships/pivotTable" Target="../pivotTables/pivotTable20.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workbookViewId="0">
      <selection activeCell="J1" sqref="J1"/>
    </sheetView>
  </sheetViews>
  <sheetFormatPr defaultRowHeight="14.4" x14ac:dyDescent="0.3"/>
  <cols>
    <col min="1" max="1" width="10.33203125" bestFit="1" customWidth="1"/>
    <col min="2" max="2" width="15" customWidth="1"/>
    <col min="3" max="3" width="14.109375" customWidth="1"/>
    <col min="4" max="4" width="11.33203125" customWidth="1"/>
    <col min="5" max="5" width="11" customWidth="1"/>
    <col min="6" max="6" width="14.88671875" customWidth="1"/>
    <col min="7" max="7" width="7.5546875" customWidth="1"/>
  </cols>
  <sheetData>
    <row r="1" spans="1:8" x14ac:dyDescent="0.3">
      <c r="A1" s="1" t="s">
        <v>0</v>
      </c>
      <c r="B1" s="1" t="s">
        <v>1</v>
      </c>
      <c r="C1" s="1" t="s">
        <v>2</v>
      </c>
      <c r="D1" s="1" t="s">
        <v>3</v>
      </c>
      <c r="E1" s="1" t="s">
        <v>4</v>
      </c>
      <c r="F1" s="1" t="s">
        <v>5</v>
      </c>
      <c r="G1" s="1" t="s">
        <v>6</v>
      </c>
      <c r="H1" s="1" t="s">
        <v>45</v>
      </c>
    </row>
    <row r="2" spans="1:8" x14ac:dyDescent="0.3">
      <c r="A2" t="s">
        <v>7</v>
      </c>
      <c r="B2" t="s">
        <v>12</v>
      </c>
      <c r="C2" t="s">
        <v>15</v>
      </c>
      <c r="D2">
        <v>120</v>
      </c>
      <c r="E2">
        <v>3.5</v>
      </c>
      <c r="F2">
        <v>420</v>
      </c>
      <c r="G2">
        <v>100</v>
      </c>
    </row>
    <row r="3" spans="1:8" x14ac:dyDescent="0.3">
      <c r="A3" t="s">
        <v>7</v>
      </c>
      <c r="B3" t="s">
        <v>13</v>
      </c>
      <c r="C3" t="s">
        <v>16</v>
      </c>
      <c r="D3">
        <v>90</v>
      </c>
      <c r="E3">
        <v>4.5</v>
      </c>
      <c r="F3">
        <v>405</v>
      </c>
      <c r="G3">
        <v>90</v>
      </c>
    </row>
    <row r="4" spans="1:8" x14ac:dyDescent="0.3">
      <c r="A4" t="s">
        <v>8</v>
      </c>
      <c r="B4" t="s">
        <v>14</v>
      </c>
      <c r="C4" t="s">
        <v>17</v>
      </c>
      <c r="D4">
        <v>85</v>
      </c>
      <c r="E4">
        <v>4</v>
      </c>
      <c r="F4">
        <v>340</v>
      </c>
      <c r="G4">
        <v>80</v>
      </c>
    </row>
    <row r="5" spans="1:8" x14ac:dyDescent="0.3">
      <c r="A5" t="s">
        <v>8</v>
      </c>
      <c r="B5" t="s">
        <v>12</v>
      </c>
      <c r="C5" t="s">
        <v>18</v>
      </c>
      <c r="D5">
        <v>110</v>
      </c>
      <c r="E5">
        <v>3</v>
      </c>
      <c r="F5">
        <v>330</v>
      </c>
      <c r="G5">
        <v>70</v>
      </c>
    </row>
    <row r="6" spans="1:8" x14ac:dyDescent="0.3">
      <c r="A6" t="s">
        <v>9</v>
      </c>
      <c r="B6" t="s">
        <v>13</v>
      </c>
      <c r="C6" t="s">
        <v>15</v>
      </c>
      <c r="D6">
        <v>100</v>
      </c>
      <c r="E6">
        <v>3.5</v>
      </c>
      <c r="F6">
        <v>350</v>
      </c>
      <c r="G6">
        <v>90</v>
      </c>
      <c r="H6" s="15">
        <v>0.24675324675324675</v>
      </c>
    </row>
    <row r="7" spans="1:8" x14ac:dyDescent="0.3">
      <c r="A7" t="s">
        <v>9</v>
      </c>
      <c r="B7" t="s">
        <v>14</v>
      </c>
      <c r="C7" t="s">
        <v>16</v>
      </c>
      <c r="D7">
        <v>95</v>
      </c>
      <c r="E7">
        <v>4.5</v>
      </c>
      <c r="F7">
        <v>427.5</v>
      </c>
      <c r="G7">
        <v>100</v>
      </c>
      <c r="H7" s="15">
        <v>0.23754789272030652</v>
      </c>
    </row>
    <row r="8" spans="1:8" x14ac:dyDescent="0.3">
      <c r="A8" t="s">
        <v>10</v>
      </c>
      <c r="B8" t="s">
        <v>12</v>
      </c>
      <c r="C8" t="s">
        <v>17</v>
      </c>
      <c r="D8">
        <v>75</v>
      </c>
      <c r="E8">
        <v>4</v>
      </c>
      <c r="F8">
        <v>300</v>
      </c>
      <c r="G8">
        <v>70</v>
      </c>
      <c r="H8" s="15">
        <v>0.234375</v>
      </c>
    </row>
    <row r="9" spans="1:8" x14ac:dyDescent="0.3">
      <c r="A9" t="s">
        <v>10</v>
      </c>
      <c r="B9" t="s">
        <v>13</v>
      </c>
      <c r="C9" t="s">
        <v>18</v>
      </c>
      <c r="D9">
        <v>120</v>
      </c>
      <c r="E9">
        <v>3</v>
      </c>
      <c r="F9">
        <v>360</v>
      </c>
      <c r="G9">
        <v>80</v>
      </c>
      <c r="H9" s="15">
        <v>0.21739130434782608</v>
      </c>
    </row>
    <row r="10" spans="1:8" x14ac:dyDescent="0.3">
      <c r="A10" t="s">
        <v>11</v>
      </c>
      <c r="B10" t="s">
        <v>14</v>
      </c>
      <c r="C10" t="s">
        <v>15</v>
      </c>
      <c r="D10">
        <v>110</v>
      </c>
      <c r="E10">
        <v>3.5</v>
      </c>
      <c r="F10">
        <v>385</v>
      </c>
      <c r="G10">
        <v>95</v>
      </c>
      <c r="H10" s="15"/>
    </row>
    <row r="11" spans="1:8" x14ac:dyDescent="0.3">
      <c r="A11" t="s">
        <v>11</v>
      </c>
      <c r="B11" t="s">
        <v>12</v>
      </c>
      <c r="C11" t="s">
        <v>16</v>
      </c>
      <c r="D11">
        <v>105</v>
      </c>
      <c r="E11">
        <v>4.5</v>
      </c>
      <c r="F11">
        <v>472.5</v>
      </c>
      <c r="G11">
        <v>120</v>
      </c>
    </row>
    <row r="12" spans="1:8" x14ac:dyDescent="0.3">
      <c r="A12" t="s">
        <v>23</v>
      </c>
      <c r="G12">
        <f>SUBTOTAL(109,project[Profit])</f>
        <v>895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2EE3F-E01A-461A-9B03-FCD6C2D65DA2}">
  <dimension ref="A1:G32"/>
  <sheetViews>
    <sheetView showGridLines="0" zoomScale="70" zoomScaleNormal="70" workbookViewId="0">
      <selection activeCell="D16" sqref="D16"/>
    </sheetView>
  </sheetViews>
  <sheetFormatPr defaultRowHeight="14.4" x14ac:dyDescent="0.3"/>
  <cols>
    <col min="2" max="2" width="16.44140625" bestFit="1" customWidth="1"/>
    <col min="3" max="3" width="20.21875" bestFit="1" customWidth="1"/>
    <col min="4" max="4" width="19.6640625" bestFit="1" customWidth="1"/>
    <col min="5" max="5" width="8.21875" bestFit="1" customWidth="1"/>
    <col min="6" max="6" width="39.5546875" bestFit="1" customWidth="1"/>
    <col min="7" max="7" width="6.44140625" bestFit="1" customWidth="1"/>
  </cols>
  <sheetData>
    <row r="1" spans="1:3" s="32" customFormat="1" x14ac:dyDescent="0.3">
      <c r="A1" s="32" t="s">
        <v>22</v>
      </c>
    </row>
    <row r="2" spans="1:3" s="32" customFormat="1" x14ac:dyDescent="0.3"/>
    <row r="3" spans="1:3" s="32" customFormat="1" x14ac:dyDescent="0.3"/>
    <row r="4" spans="1:3" s="32" customFormat="1" ht="14.4" customHeight="1" x14ac:dyDescent="0.3"/>
    <row r="5" spans="1:3" s="32" customFormat="1" ht="14.4" customHeight="1" x14ac:dyDescent="0.3"/>
    <row r="6" spans="1:3" s="32" customFormat="1" ht="14.4" customHeight="1" x14ac:dyDescent="0.3"/>
    <row r="7" spans="1:3" x14ac:dyDescent="0.3">
      <c r="B7" s="28" t="s">
        <v>19</v>
      </c>
      <c r="C7" s="25" t="s">
        <v>21</v>
      </c>
    </row>
    <row r="8" spans="1:3" x14ac:dyDescent="0.3">
      <c r="B8" s="27" t="s">
        <v>18</v>
      </c>
      <c r="C8" s="25">
        <v>690</v>
      </c>
    </row>
    <row r="9" spans="1:3" x14ac:dyDescent="0.3">
      <c r="B9" s="30" t="s">
        <v>13</v>
      </c>
      <c r="C9" s="25">
        <v>360</v>
      </c>
    </row>
    <row r="10" spans="1:3" x14ac:dyDescent="0.3">
      <c r="B10" s="31" t="s">
        <v>10</v>
      </c>
      <c r="C10" s="25">
        <v>360</v>
      </c>
    </row>
    <row r="11" spans="1:3" x14ac:dyDescent="0.3">
      <c r="B11" s="30" t="s">
        <v>12</v>
      </c>
      <c r="C11" s="25">
        <v>330</v>
      </c>
    </row>
    <row r="12" spans="1:3" x14ac:dyDescent="0.3">
      <c r="B12" s="31" t="s">
        <v>8</v>
      </c>
      <c r="C12" s="25">
        <v>330</v>
      </c>
    </row>
    <row r="13" spans="1:3" x14ac:dyDescent="0.3">
      <c r="B13" s="27" t="s">
        <v>17</v>
      </c>
      <c r="C13" s="25">
        <v>640</v>
      </c>
    </row>
    <row r="14" spans="1:3" x14ac:dyDescent="0.3">
      <c r="B14" s="30" t="s">
        <v>14</v>
      </c>
      <c r="C14" s="25">
        <v>340</v>
      </c>
    </row>
    <row r="15" spans="1:3" x14ac:dyDescent="0.3">
      <c r="B15" s="31" t="s">
        <v>8</v>
      </c>
      <c r="C15" s="25">
        <v>340</v>
      </c>
    </row>
    <row r="16" spans="1:3" x14ac:dyDescent="0.3">
      <c r="B16" s="30" t="s">
        <v>12</v>
      </c>
      <c r="C16" s="25">
        <v>300</v>
      </c>
    </row>
    <row r="17" spans="2:7" x14ac:dyDescent="0.3">
      <c r="B17" s="31" t="s">
        <v>10</v>
      </c>
      <c r="C17" s="25">
        <v>300</v>
      </c>
    </row>
    <row r="18" spans="2:7" x14ac:dyDescent="0.3">
      <c r="B18" s="27" t="s">
        <v>15</v>
      </c>
      <c r="C18" s="25">
        <v>1155</v>
      </c>
    </row>
    <row r="19" spans="2:7" x14ac:dyDescent="0.3">
      <c r="B19" s="30" t="s">
        <v>13</v>
      </c>
      <c r="C19" s="25">
        <v>350</v>
      </c>
    </row>
    <row r="20" spans="2:7" x14ac:dyDescent="0.3">
      <c r="B20" s="31" t="s">
        <v>9</v>
      </c>
      <c r="C20" s="25">
        <v>350</v>
      </c>
    </row>
    <row r="21" spans="2:7" x14ac:dyDescent="0.3">
      <c r="B21" s="30" t="s">
        <v>14</v>
      </c>
      <c r="C21" s="25">
        <v>385</v>
      </c>
    </row>
    <row r="22" spans="2:7" x14ac:dyDescent="0.3">
      <c r="B22" s="31" t="s">
        <v>11</v>
      </c>
      <c r="C22" s="25">
        <v>385</v>
      </c>
    </row>
    <row r="23" spans="2:7" x14ac:dyDescent="0.3">
      <c r="B23" s="30" t="s">
        <v>12</v>
      </c>
      <c r="C23" s="25">
        <v>420</v>
      </c>
    </row>
    <row r="24" spans="2:7" x14ac:dyDescent="0.3">
      <c r="B24" s="31" t="s">
        <v>7</v>
      </c>
      <c r="C24" s="25">
        <v>420</v>
      </c>
    </row>
    <row r="25" spans="2:7" x14ac:dyDescent="0.3">
      <c r="B25" s="27" t="s">
        <v>16</v>
      </c>
      <c r="C25" s="25">
        <v>1305</v>
      </c>
    </row>
    <row r="26" spans="2:7" ht="18" x14ac:dyDescent="0.35">
      <c r="B26" s="30" t="s">
        <v>13</v>
      </c>
      <c r="C26" s="25">
        <v>405</v>
      </c>
      <c r="F26" s="4" t="s">
        <v>22</v>
      </c>
      <c r="G26" s="2">
        <f>3790</f>
        <v>3790</v>
      </c>
    </row>
    <row r="27" spans="2:7" x14ac:dyDescent="0.3">
      <c r="B27" s="31" t="s">
        <v>7</v>
      </c>
      <c r="C27" s="25">
        <v>405</v>
      </c>
    </row>
    <row r="28" spans="2:7" x14ac:dyDescent="0.3">
      <c r="B28" s="30" t="s">
        <v>14</v>
      </c>
      <c r="C28" s="25">
        <v>427.5</v>
      </c>
    </row>
    <row r="29" spans="2:7" x14ac:dyDescent="0.3">
      <c r="B29" s="31" t="s">
        <v>9</v>
      </c>
      <c r="C29" s="25">
        <v>427.5</v>
      </c>
    </row>
    <row r="30" spans="2:7" x14ac:dyDescent="0.3">
      <c r="B30" s="30" t="s">
        <v>12</v>
      </c>
      <c r="C30" s="25">
        <v>472.5</v>
      </c>
    </row>
    <row r="31" spans="2:7" x14ac:dyDescent="0.3">
      <c r="B31" s="31" t="s">
        <v>11</v>
      </c>
      <c r="C31" s="25">
        <v>472.5</v>
      </c>
    </row>
    <row r="32" spans="2:7" x14ac:dyDescent="0.3">
      <c r="B32" s="27" t="s">
        <v>20</v>
      </c>
      <c r="C32" s="25">
        <v>3790</v>
      </c>
    </row>
  </sheetData>
  <mergeCells count="1">
    <mergeCell ref="A1:XFD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AFD3B-F403-444E-8BED-8F285886EA2E}">
  <dimension ref="A1:AC22"/>
  <sheetViews>
    <sheetView showGridLines="0" showRowColHeaders="0" zoomScale="52" workbookViewId="0">
      <selection activeCell="F15" sqref="F15:H15"/>
    </sheetView>
  </sheetViews>
  <sheetFormatPr defaultRowHeight="13.8" x14ac:dyDescent="0.25"/>
  <cols>
    <col min="1" max="1" width="8.88671875" style="5"/>
    <col min="2" max="2" width="13.33203125" style="5" bestFit="1" customWidth="1"/>
    <col min="3" max="3" width="20.44140625" style="5" bestFit="1" customWidth="1"/>
    <col min="4" max="4" width="12.109375" style="5" bestFit="1" customWidth="1"/>
    <col min="5" max="5" width="12.44140625" style="5" customWidth="1"/>
    <col min="6" max="6" width="19.5546875" style="5" bestFit="1" customWidth="1"/>
    <col min="7" max="7" width="23" style="5" bestFit="1" customWidth="1"/>
    <col min="8" max="8" width="28.33203125" style="5" bestFit="1" customWidth="1"/>
    <col min="9" max="9" width="9.21875" style="5" customWidth="1"/>
    <col min="10" max="10" width="14.33203125" style="5" bestFit="1" customWidth="1"/>
    <col min="11" max="11" width="19.6640625" style="5" bestFit="1" customWidth="1"/>
    <col min="12" max="12" width="9.88671875" style="5" customWidth="1"/>
    <col min="13" max="13" width="12.5546875" style="5" bestFit="1" customWidth="1"/>
    <col min="14" max="14" width="16" style="5" bestFit="1" customWidth="1"/>
    <col min="15" max="15" width="19.6640625" style="5" bestFit="1" customWidth="1"/>
    <col min="16" max="16" width="16" style="5" bestFit="1" customWidth="1"/>
    <col min="17" max="18" width="10.33203125" style="5" bestFit="1" customWidth="1"/>
    <col min="19" max="19" width="6.77734375" style="5" customWidth="1"/>
    <col min="20" max="23" width="10.33203125" style="5" bestFit="1" customWidth="1"/>
    <col min="24" max="24" width="16.88671875" style="5" bestFit="1" customWidth="1"/>
    <col min="25" max="25" width="24.44140625" style="5" bestFit="1" customWidth="1"/>
    <col min="26" max="16384" width="8.88671875" style="5"/>
  </cols>
  <sheetData>
    <row r="1" spans="1:29" x14ac:dyDescent="0.25">
      <c r="A1" s="35" t="s">
        <v>24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row>
    <row r="2" spans="1:29" x14ac:dyDescent="0.25">
      <c r="A2" s="36"/>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row>
    <row r="3" spans="1:29" x14ac:dyDescent="0.25">
      <c r="A3" s="36"/>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row>
    <row r="4" spans="1:29" x14ac:dyDescent="0.25">
      <c r="A4" s="36"/>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row>
    <row r="6" spans="1:29" x14ac:dyDescent="0.25">
      <c r="A6" s="33" t="s">
        <v>31</v>
      </c>
      <c r="B6" s="33"/>
      <c r="C6" s="33"/>
      <c r="D6" s="33"/>
      <c r="F6" s="33" t="s">
        <v>34</v>
      </c>
      <c r="G6" s="33"/>
      <c r="H6" s="33"/>
      <c r="J6" s="33" t="s">
        <v>35</v>
      </c>
      <c r="K6" s="33"/>
      <c r="L6" s="33"/>
      <c r="N6" s="33" t="s">
        <v>37</v>
      </c>
      <c r="O6" s="33"/>
      <c r="P6" s="33"/>
      <c r="Q6" s="33"/>
    </row>
    <row r="8" spans="1:29" x14ac:dyDescent="0.25">
      <c r="B8" s="11" t="s">
        <v>19</v>
      </c>
      <c r="C8" s="12" t="s">
        <v>21</v>
      </c>
      <c r="F8" s="11" t="s">
        <v>19</v>
      </c>
      <c r="G8" s="12" t="s">
        <v>26</v>
      </c>
      <c r="H8" s="12" t="s">
        <v>21</v>
      </c>
      <c r="J8" s="11" t="s">
        <v>19</v>
      </c>
      <c r="K8" s="12" t="s">
        <v>21</v>
      </c>
      <c r="N8" s="11" t="s">
        <v>19</v>
      </c>
      <c r="O8" s="12" t="s">
        <v>21</v>
      </c>
      <c r="P8" s="12" t="s">
        <v>26</v>
      </c>
      <c r="Q8" s="16" t="s">
        <v>36</v>
      </c>
    </row>
    <row r="9" spans="1:29" x14ac:dyDescent="0.25">
      <c r="B9" s="13" t="s">
        <v>12</v>
      </c>
      <c r="C9" s="12">
        <v>1522.5</v>
      </c>
      <c r="F9" s="13" t="s">
        <v>13</v>
      </c>
      <c r="G9" s="12">
        <v>310</v>
      </c>
      <c r="H9" s="15">
        <v>0.29419525065963059</v>
      </c>
      <c r="J9" s="13" t="s">
        <v>13</v>
      </c>
      <c r="K9" s="12">
        <v>1115</v>
      </c>
      <c r="N9" s="13" t="s">
        <v>13</v>
      </c>
      <c r="O9" s="12">
        <v>1115</v>
      </c>
      <c r="P9" s="12">
        <v>310</v>
      </c>
      <c r="Q9" s="12">
        <f>AVERAGE(GETPIVOTDATA("Sum of Total Revenue",$N$8,"Store Location","Chicago")/GETPIVOTDATA("Sum of Units Sold",$N$8,"Store Location","Chicago"))</f>
        <v>3.596774193548387</v>
      </c>
    </row>
    <row r="10" spans="1:29" x14ac:dyDescent="0.25">
      <c r="B10" s="13" t="s">
        <v>14</v>
      </c>
      <c r="C10" s="12">
        <v>1152.5</v>
      </c>
      <c r="F10" s="13" t="s">
        <v>14</v>
      </c>
      <c r="G10" s="12">
        <v>290</v>
      </c>
      <c r="H10" s="15">
        <v>0.30408970976253297</v>
      </c>
      <c r="J10" s="14" t="s">
        <v>7</v>
      </c>
      <c r="K10" s="12">
        <v>405</v>
      </c>
      <c r="N10" s="13" t="s">
        <v>14</v>
      </c>
      <c r="O10" s="12">
        <v>1152.5</v>
      </c>
      <c r="P10" s="12">
        <v>290</v>
      </c>
      <c r="Q10" s="12">
        <f>AVERAGE(GETPIVOTDATA("Sum of Total Revenue",$N$8,"Store Location","Chicago")/GETPIVOTDATA("Sum of Units Sold",$N$8,"Store Location","Los Angeles"))</f>
        <v>3.8448275862068964</v>
      </c>
    </row>
    <row r="11" spans="1:29" x14ac:dyDescent="0.25">
      <c r="B11" s="13" t="s">
        <v>13</v>
      </c>
      <c r="C11" s="12">
        <v>1115</v>
      </c>
      <c r="F11" s="13" t="s">
        <v>12</v>
      </c>
      <c r="G11" s="12">
        <v>410</v>
      </c>
      <c r="H11" s="15">
        <v>0.40171503957783639</v>
      </c>
      <c r="J11" s="14" t="s">
        <v>9</v>
      </c>
      <c r="K11" s="12">
        <v>350</v>
      </c>
      <c r="N11" s="13" t="s">
        <v>12</v>
      </c>
      <c r="O11" s="12">
        <v>1522.5</v>
      </c>
      <c r="P11" s="12">
        <v>410</v>
      </c>
      <c r="Q11" s="12">
        <f>AVERAGE(GETPIVOTDATA("Sum of Total Revenue",$N$8,"Store Location","New York")/GETPIVOTDATA("Sum of Units Sold",$N$8,"Store Location","New York"))</f>
        <v>3.7134146341463414</v>
      </c>
    </row>
    <row r="12" spans="1:29" x14ac:dyDescent="0.25">
      <c r="B12" s="13" t="s">
        <v>20</v>
      </c>
      <c r="C12" s="12">
        <v>3790</v>
      </c>
      <c r="F12" s="13" t="s">
        <v>20</v>
      </c>
      <c r="G12" s="12">
        <v>1010</v>
      </c>
      <c r="H12" s="15">
        <v>1</v>
      </c>
      <c r="J12" s="14" t="s">
        <v>10</v>
      </c>
      <c r="K12" s="12">
        <v>360</v>
      </c>
      <c r="N12" s="13" t="s">
        <v>20</v>
      </c>
      <c r="O12" s="12">
        <v>3790</v>
      </c>
      <c r="P12" s="12">
        <v>1010</v>
      </c>
      <c r="Q12" s="17">
        <f>SUM(Q9:Q11)</f>
        <v>11.155016413901624</v>
      </c>
    </row>
    <row r="13" spans="1:29" x14ac:dyDescent="0.25">
      <c r="J13" s="13" t="s">
        <v>14</v>
      </c>
      <c r="K13" s="12">
        <v>1152.5</v>
      </c>
    </row>
    <row r="14" spans="1:29" x14ac:dyDescent="0.25">
      <c r="B14" s="10" t="s">
        <v>27</v>
      </c>
      <c r="C14" s="5" t="s">
        <v>29</v>
      </c>
      <c r="J14" s="14" t="s">
        <v>8</v>
      </c>
      <c r="K14" s="12">
        <v>340</v>
      </c>
    </row>
    <row r="15" spans="1:29" x14ac:dyDescent="0.25">
      <c r="B15" s="10" t="s">
        <v>28</v>
      </c>
      <c r="C15" s="5" t="s">
        <v>30</v>
      </c>
      <c r="F15" s="34" t="s">
        <v>33</v>
      </c>
      <c r="G15" s="34"/>
      <c r="H15" s="34"/>
      <c r="J15" s="14" t="s">
        <v>9</v>
      </c>
      <c r="K15" s="12">
        <v>427.5</v>
      </c>
    </row>
    <row r="16" spans="1:29" x14ac:dyDescent="0.25">
      <c r="J16" s="14" t="s">
        <v>11</v>
      </c>
      <c r="K16" s="12">
        <v>385</v>
      </c>
      <c r="M16" s="34" t="s">
        <v>38</v>
      </c>
      <c r="N16" s="34"/>
      <c r="O16" s="34"/>
      <c r="P16" s="34"/>
      <c r="Q16" s="34"/>
      <c r="R16" s="34"/>
      <c r="S16" s="34"/>
    </row>
    <row r="17" spans="2:17" x14ac:dyDescent="0.25">
      <c r="B17" s="34" t="s">
        <v>32</v>
      </c>
      <c r="C17" s="34"/>
      <c r="J17" s="13" t="s">
        <v>12</v>
      </c>
      <c r="K17" s="12">
        <v>1522.5</v>
      </c>
    </row>
    <row r="18" spans="2:17" x14ac:dyDescent="0.25">
      <c r="J18" s="14" t="s">
        <v>7</v>
      </c>
      <c r="K18" s="12">
        <v>420</v>
      </c>
      <c r="M18" s="11" t="s">
        <v>19</v>
      </c>
      <c r="N18" s="12" t="s">
        <v>26</v>
      </c>
      <c r="O18" s="12" t="s">
        <v>21</v>
      </c>
      <c r="P18" s="12" t="s">
        <v>25</v>
      </c>
      <c r="Q18" s="16" t="s">
        <v>36</v>
      </c>
    </row>
    <row r="19" spans="2:17" x14ac:dyDescent="0.25">
      <c r="J19" s="14" t="s">
        <v>8</v>
      </c>
      <c r="K19" s="12">
        <v>330</v>
      </c>
      <c r="M19" s="13" t="s">
        <v>13</v>
      </c>
      <c r="N19" s="12">
        <v>310</v>
      </c>
      <c r="O19" s="12">
        <v>1115</v>
      </c>
      <c r="P19" s="12">
        <v>260</v>
      </c>
      <c r="Q19" s="12">
        <f>AVERAGE(GETPIVOTDATA("Sum of Total Revenue",$N$8,"Store Location","Chicago")/GETPIVOTDATA("Sum of Units Sold",$N$8,"Store Location","Chicago"))</f>
        <v>3.596774193548387</v>
      </c>
    </row>
    <row r="20" spans="2:17" x14ac:dyDescent="0.25">
      <c r="J20" s="14" t="s">
        <v>10</v>
      </c>
      <c r="K20" s="12">
        <v>300</v>
      </c>
      <c r="M20" s="13" t="s">
        <v>14</v>
      </c>
      <c r="N20" s="12">
        <v>290</v>
      </c>
      <c r="O20" s="12">
        <v>1152.5</v>
      </c>
      <c r="P20" s="12">
        <v>275</v>
      </c>
      <c r="Q20" s="12">
        <f>AVERAGE(GETPIVOTDATA("Sum of Total Revenue",$N$8,"Store Location","Chicago")/GETPIVOTDATA("Sum of Units Sold",$N$8,"Store Location","Los Angeles"))</f>
        <v>3.8448275862068964</v>
      </c>
    </row>
    <row r="21" spans="2:17" x14ac:dyDescent="0.25">
      <c r="J21" s="14" t="s">
        <v>11</v>
      </c>
      <c r="K21" s="12">
        <v>472.5</v>
      </c>
      <c r="M21" s="13" t="s">
        <v>12</v>
      </c>
      <c r="N21" s="12">
        <v>410</v>
      </c>
      <c r="O21" s="12">
        <v>1522.5</v>
      </c>
      <c r="P21" s="12">
        <v>360</v>
      </c>
      <c r="Q21" s="12">
        <f>AVERAGE(GETPIVOTDATA("Sum of Total Revenue",$N$8,"Store Location","New York")/GETPIVOTDATA("Sum of Units Sold",$N$8,"Store Location","New York"))</f>
        <v>3.7134146341463414</v>
      </c>
    </row>
    <row r="22" spans="2:17" x14ac:dyDescent="0.25">
      <c r="J22" s="13" t="s">
        <v>20</v>
      </c>
      <c r="K22" s="12">
        <v>3790</v>
      </c>
      <c r="M22" s="13" t="s">
        <v>20</v>
      </c>
      <c r="N22" s="12">
        <v>1010</v>
      </c>
      <c r="O22" s="12">
        <v>3790</v>
      </c>
      <c r="P22" s="12">
        <v>895</v>
      </c>
      <c r="Q22" s="17">
        <f>SUM(Q19:Q21)</f>
        <v>11.155016413901624</v>
      </c>
    </row>
  </sheetData>
  <mergeCells count="8">
    <mergeCell ref="N6:Q6"/>
    <mergeCell ref="M16:S16"/>
    <mergeCell ref="A1:AC4"/>
    <mergeCell ref="A6:D6"/>
    <mergeCell ref="B17:C17"/>
    <mergeCell ref="F6:H6"/>
    <mergeCell ref="F15:H15"/>
    <mergeCell ref="J6:L6"/>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4198-2C13-457A-87B8-BF17ABF1DCD0}">
  <dimension ref="A1:AD24"/>
  <sheetViews>
    <sheetView showGridLines="0" zoomScale="60" workbookViewId="0">
      <selection activeCell="N32" sqref="N32"/>
    </sheetView>
  </sheetViews>
  <sheetFormatPr defaultRowHeight="13.8" x14ac:dyDescent="0.25"/>
  <cols>
    <col min="1" max="1" width="8.88671875" style="5"/>
    <col min="2" max="2" width="18.21875" style="5" bestFit="1" customWidth="1"/>
    <col min="3" max="3" width="22.6640625" style="5" bestFit="1" customWidth="1"/>
    <col min="4" max="6" width="8.88671875" style="5"/>
    <col min="7" max="7" width="6.6640625" style="5" customWidth="1"/>
    <col min="8" max="8" width="13.33203125" style="5" bestFit="1" customWidth="1"/>
    <col min="9" max="9" width="20.109375" style="5" bestFit="1" customWidth="1"/>
    <col min="10" max="10" width="14.44140625" style="5" bestFit="1" customWidth="1"/>
    <col min="11" max="12" width="12.5546875" style="5" bestFit="1" customWidth="1"/>
    <col min="13" max="13" width="16" style="5" bestFit="1" customWidth="1"/>
    <col min="14" max="14" width="19.6640625" style="5" bestFit="1" customWidth="1"/>
    <col min="15" max="15" width="12.109375" style="5" bestFit="1" customWidth="1"/>
    <col min="16" max="16" width="23.33203125" style="5" bestFit="1" customWidth="1"/>
    <col min="17" max="17" width="8.88671875" style="5"/>
    <col min="18" max="18" width="14.44140625" style="5" bestFit="1" customWidth="1"/>
    <col min="19" max="19" width="20.21875" style="5" bestFit="1" customWidth="1"/>
    <col min="20" max="16384" width="8.88671875" style="5"/>
  </cols>
  <sheetData>
    <row r="1" spans="1:30" x14ac:dyDescent="0.25">
      <c r="A1" s="18"/>
      <c r="B1" s="37" t="s">
        <v>39</v>
      </c>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row>
    <row r="2" spans="1:30" x14ac:dyDescent="0.25">
      <c r="A2" s="18"/>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row>
    <row r="3" spans="1:30" x14ac:dyDescent="0.25">
      <c r="A3" s="1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row>
    <row r="4" spans="1:30" x14ac:dyDescent="0.25">
      <c r="A4" s="1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row>
    <row r="6" spans="1:30" x14ac:dyDescent="0.25">
      <c r="B6" s="39" t="s">
        <v>40</v>
      </c>
      <c r="C6" s="39"/>
      <c r="D6" s="39"/>
      <c r="G6" s="41" t="s">
        <v>42</v>
      </c>
      <c r="H6" s="41"/>
      <c r="I6" s="41"/>
      <c r="J6" s="41"/>
      <c r="L6" s="41" t="s">
        <v>46</v>
      </c>
      <c r="M6" s="41"/>
      <c r="N6" s="41"/>
      <c r="O6" s="41"/>
      <c r="R6" s="41" t="s">
        <v>47</v>
      </c>
      <c r="S6" s="41"/>
      <c r="T6" s="41"/>
      <c r="U6" s="41"/>
      <c r="V6" s="41"/>
      <c r="W6" s="41"/>
    </row>
    <row r="8" spans="1:30" x14ac:dyDescent="0.25">
      <c r="B8" s="11" t="s">
        <v>19</v>
      </c>
      <c r="C8" s="12" t="s">
        <v>26</v>
      </c>
      <c r="H8" s="11" t="s">
        <v>19</v>
      </c>
      <c r="I8" s="12" t="s">
        <v>45</v>
      </c>
      <c r="L8" s="11" t="s">
        <v>19</v>
      </c>
      <c r="M8" s="11" t="s">
        <v>26</v>
      </c>
      <c r="N8" s="12" t="s">
        <v>25</v>
      </c>
      <c r="R8" s="6" t="s">
        <v>19</v>
      </c>
      <c r="S8" s="5" t="s">
        <v>48</v>
      </c>
    </row>
    <row r="9" spans="1:30" x14ac:dyDescent="0.25">
      <c r="B9" s="13" t="s">
        <v>15</v>
      </c>
      <c r="C9" s="12">
        <v>330</v>
      </c>
      <c r="H9" s="13" t="s">
        <v>15</v>
      </c>
      <c r="I9" s="15">
        <v>0.24675324675324675</v>
      </c>
      <c r="J9" s="8"/>
      <c r="L9" s="13" t="s">
        <v>16</v>
      </c>
      <c r="M9" s="12">
        <v>290</v>
      </c>
      <c r="N9" s="12">
        <v>310</v>
      </c>
      <c r="R9" s="7" t="s">
        <v>7</v>
      </c>
      <c r="S9" s="5">
        <v>2</v>
      </c>
    </row>
    <row r="10" spans="1:30" x14ac:dyDescent="0.25">
      <c r="B10" s="13" t="s">
        <v>16</v>
      </c>
      <c r="C10" s="12">
        <v>290</v>
      </c>
      <c r="H10" s="13" t="s">
        <v>16</v>
      </c>
      <c r="I10" s="15">
        <v>0.23754789272030652</v>
      </c>
      <c r="J10" s="8"/>
      <c r="L10" s="13" t="s">
        <v>15</v>
      </c>
      <c r="M10" s="12">
        <v>330</v>
      </c>
      <c r="N10" s="12">
        <v>285</v>
      </c>
      <c r="R10" s="9" t="s">
        <v>13</v>
      </c>
      <c r="S10" s="5">
        <v>1</v>
      </c>
    </row>
    <row r="11" spans="1:30" x14ac:dyDescent="0.25">
      <c r="B11" s="13" t="s">
        <v>18</v>
      </c>
      <c r="C11" s="12">
        <v>230</v>
      </c>
      <c r="H11" s="13" t="s">
        <v>17</v>
      </c>
      <c r="I11" s="15">
        <v>0.234375</v>
      </c>
      <c r="J11" s="8"/>
      <c r="L11" s="13" t="s">
        <v>18</v>
      </c>
      <c r="M11" s="12">
        <v>230</v>
      </c>
      <c r="N11" s="12">
        <v>150</v>
      </c>
      <c r="R11" s="9" t="s">
        <v>12</v>
      </c>
      <c r="S11" s="5">
        <v>1</v>
      </c>
    </row>
    <row r="12" spans="1:30" x14ac:dyDescent="0.25">
      <c r="B12" s="13" t="s">
        <v>17</v>
      </c>
      <c r="C12" s="12">
        <v>160</v>
      </c>
      <c r="H12" s="13" t="s">
        <v>18</v>
      </c>
      <c r="I12" s="15">
        <v>0.21739130434782608</v>
      </c>
      <c r="J12" s="8"/>
      <c r="L12" s="13" t="s">
        <v>17</v>
      </c>
      <c r="M12" s="12">
        <v>160</v>
      </c>
      <c r="N12" s="12">
        <v>150</v>
      </c>
      <c r="R12" s="7" t="s">
        <v>8</v>
      </c>
      <c r="S12" s="5">
        <v>2</v>
      </c>
    </row>
    <row r="13" spans="1:30" x14ac:dyDescent="0.25">
      <c r="B13" s="13" t="s">
        <v>20</v>
      </c>
      <c r="C13" s="12">
        <v>1010</v>
      </c>
      <c r="H13" s="13" t="s">
        <v>20</v>
      </c>
      <c r="I13" s="15">
        <v>0.23614775725593667</v>
      </c>
      <c r="J13" s="8"/>
      <c r="L13" s="13" t="s">
        <v>20</v>
      </c>
      <c r="M13" s="12">
        <v>1010</v>
      </c>
      <c r="N13" s="12">
        <v>895</v>
      </c>
      <c r="R13" s="9" t="s">
        <v>14</v>
      </c>
      <c r="S13" s="5">
        <v>1</v>
      </c>
    </row>
    <row r="14" spans="1:30" x14ac:dyDescent="0.25">
      <c r="B14" s="7"/>
      <c r="R14" s="9" t="s">
        <v>12</v>
      </c>
      <c r="S14" s="5">
        <v>1</v>
      </c>
    </row>
    <row r="15" spans="1:30" x14ac:dyDescent="0.25">
      <c r="B15" s="40" t="s">
        <v>41</v>
      </c>
      <c r="C15" s="40"/>
      <c r="D15" s="40"/>
      <c r="E15" s="40"/>
      <c r="G15" s="40" t="s">
        <v>43</v>
      </c>
      <c r="H15" s="40"/>
      <c r="I15" s="40"/>
      <c r="J15" s="40"/>
      <c r="L15" s="40" t="s">
        <v>49</v>
      </c>
      <c r="M15" s="40"/>
      <c r="N15" s="40"/>
      <c r="O15" s="40"/>
      <c r="R15" s="7" t="s">
        <v>9</v>
      </c>
      <c r="S15" s="5">
        <v>2</v>
      </c>
    </row>
    <row r="16" spans="1:30" x14ac:dyDescent="0.25">
      <c r="R16" s="9" t="s">
        <v>13</v>
      </c>
      <c r="S16" s="5">
        <v>1</v>
      </c>
    </row>
    <row r="17" spans="12:19" x14ac:dyDescent="0.25">
      <c r="L17" s="11" t="s">
        <v>19</v>
      </c>
      <c r="M17" s="11" t="s">
        <v>26</v>
      </c>
      <c r="N17" s="12" t="s">
        <v>21</v>
      </c>
      <c r="O17" s="12" t="s">
        <v>25</v>
      </c>
      <c r="P17" s="12" t="s">
        <v>50</v>
      </c>
      <c r="R17" s="9" t="s">
        <v>14</v>
      </c>
      <c r="S17" s="5">
        <v>1</v>
      </c>
    </row>
    <row r="18" spans="12:19" x14ac:dyDescent="0.25">
      <c r="L18" s="13" t="s">
        <v>18</v>
      </c>
      <c r="M18" s="12">
        <v>230</v>
      </c>
      <c r="N18" s="12">
        <v>690</v>
      </c>
      <c r="O18" s="12">
        <v>150</v>
      </c>
      <c r="P18" s="15">
        <v>0.21739130434782608</v>
      </c>
      <c r="Q18" s="8"/>
      <c r="R18" s="7" t="s">
        <v>10</v>
      </c>
      <c r="S18" s="5">
        <v>2</v>
      </c>
    </row>
    <row r="19" spans="12:19" x14ac:dyDescent="0.25">
      <c r="L19" s="13" t="s">
        <v>17</v>
      </c>
      <c r="M19" s="12">
        <v>160</v>
      </c>
      <c r="N19" s="12">
        <v>640</v>
      </c>
      <c r="O19" s="12">
        <v>150</v>
      </c>
      <c r="P19" s="15">
        <v>0.234375</v>
      </c>
      <c r="Q19" s="8"/>
      <c r="R19" s="9" t="s">
        <v>13</v>
      </c>
      <c r="S19" s="5">
        <v>1</v>
      </c>
    </row>
    <row r="20" spans="12:19" x14ac:dyDescent="0.25">
      <c r="L20" s="13" t="s">
        <v>15</v>
      </c>
      <c r="M20" s="12">
        <v>330</v>
      </c>
      <c r="N20" s="12">
        <v>1155</v>
      </c>
      <c r="O20" s="12">
        <v>285</v>
      </c>
      <c r="P20" s="15">
        <v>0.24675324675324675</v>
      </c>
      <c r="Q20" s="8"/>
      <c r="R20" s="9" t="s">
        <v>12</v>
      </c>
      <c r="S20" s="5">
        <v>1</v>
      </c>
    </row>
    <row r="21" spans="12:19" x14ac:dyDescent="0.25">
      <c r="L21" s="13" t="s">
        <v>16</v>
      </c>
      <c r="M21" s="12">
        <v>290</v>
      </c>
      <c r="N21" s="12">
        <v>1305</v>
      </c>
      <c r="O21" s="12">
        <v>310</v>
      </c>
      <c r="P21" s="15">
        <v>0.23754789272030652</v>
      </c>
      <c r="Q21" s="8"/>
      <c r="R21" s="7" t="s">
        <v>11</v>
      </c>
      <c r="S21" s="5">
        <v>2</v>
      </c>
    </row>
    <row r="22" spans="12:19" x14ac:dyDescent="0.25">
      <c r="L22" s="13" t="s">
        <v>20</v>
      </c>
      <c r="M22" s="12">
        <v>1010</v>
      </c>
      <c r="N22" s="12">
        <v>3790</v>
      </c>
      <c r="O22" s="12">
        <v>895</v>
      </c>
      <c r="P22" s="15">
        <v>0.23614775725593667</v>
      </c>
      <c r="Q22" s="8"/>
      <c r="R22" s="9" t="s">
        <v>14</v>
      </c>
      <c r="S22" s="5">
        <v>1</v>
      </c>
    </row>
    <row r="23" spans="12:19" x14ac:dyDescent="0.25">
      <c r="R23" s="9" t="s">
        <v>12</v>
      </c>
      <c r="S23" s="5">
        <v>1</v>
      </c>
    </row>
    <row r="24" spans="12:19" x14ac:dyDescent="0.25">
      <c r="R24" s="7" t="s">
        <v>20</v>
      </c>
      <c r="S24" s="5">
        <v>10</v>
      </c>
    </row>
  </sheetData>
  <mergeCells count="8">
    <mergeCell ref="B1:AD4"/>
    <mergeCell ref="B6:D6"/>
    <mergeCell ref="B15:E15"/>
    <mergeCell ref="G6:J6"/>
    <mergeCell ref="G15:J15"/>
    <mergeCell ref="L6:O6"/>
    <mergeCell ref="R6:W6"/>
    <mergeCell ref="L15:O15"/>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70F83-D44F-4956-9414-DD38B66BE358}">
  <dimension ref="A1:AA50"/>
  <sheetViews>
    <sheetView showGridLines="0" zoomScale="48" workbookViewId="0">
      <selection sqref="A1:AA4"/>
    </sheetView>
  </sheetViews>
  <sheetFormatPr defaultRowHeight="13.8" x14ac:dyDescent="0.25"/>
  <cols>
    <col min="1" max="2" width="8.88671875" style="5"/>
    <col min="3" max="3" width="13.33203125" style="5" bestFit="1" customWidth="1"/>
    <col min="4" max="4" width="20.44140625" style="5" bestFit="1" customWidth="1"/>
    <col min="5" max="8" width="8.88671875" style="5"/>
    <col min="9" max="9" width="13.33203125" style="5" bestFit="1" customWidth="1"/>
    <col min="10" max="10" width="20.44140625" style="5" bestFit="1" customWidth="1"/>
    <col min="11" max="12" width="8.88671875" style="5"/>
    <col min="13" max="13" width="14.33203125" style="5" bestFit="1" customWidth="1"/>
    <col min="14" max="14" width="19.6640625" style="5" bestFit="1" customWidth="1"/>
    <col min="15" max="16384" width="8.88671875" style="5"/>
  </cols>
  <sheetData>
    <row r="1" spans="1:27" x14ac:dyDescent="0.25">
      <c r="A1" s="44" t="s">
        <v>51</v>
      </c>
      <c r="B1" s="45"/>
      <c r="C1" s="45"/>
      <c r="D1" s="45"/>
      <c r="E1" s="45"/>
      <c r="F1" s="45"/>
      <c r="G1" s="45"/>
      <c r="H1" s="45"/>
      <c r="I1" s="45"/>
      <c r="J1" s="45"/>
      <c r="K1" s="45"/>
      <c r="L1" s="45"/>
      <c r="M1" s="45"/>
      <c r="N1" s="45"/>
      <c r="O1" s="45"/>
      <c r="P1" s="45"/>
      <c r="Q1" s="45"/>
      <c r="R1" s="45"/>
      <c r="S1" s="45"/>
      <c r="T1" s="45"/>
      <c r="U1" s="45"/>
      <c r="V1" s="45"/>
      <c r="W1" s="45"/>
      <c r="X1" s="45"/>
      <c r="Y1" s="45"/>
      <c r="Z1" s="45"/>
      <c r="AA1" s="45"/>
    </row>
    <row r="2" spans="1:27" x14ac:dyDescent="0.25">
      <c r="A2" s="45"/>
      <c r="B2" s="45"/>
      <c r="C2" s="45"/>
      <c r="D2" s="45"/>
      <c r="E2" s="45"/>
      <c r="F2" s="45"/>
      <c r="G2" s="45"/>
      <c r="H2" s="45"/>
      <c r="I2" s="45"/>
      <c r="J2" s="45"/>
      <c r="K2" s="45"/>
      <c r="L2" s="45"/>
      <c r="M2" s="45"/>
      <c r="N2" s="45"/>
      <c r="O2" s="45"/>
      <c r="P2" s="45"/>
      <c r="Q2" s="45"/>
      <c r="R2" s="45"/>
      <c r="S2" s="45"/>
      <c r="T2" s="45"/>
      <c r="U2" s="45"/>
      <c r="V2" s="45"/>
      <c r="W2" s="45"/>
      <c r="X2" s="45"/>
      <c r="Y2" s="45"/>
      <c r="Z2" s="45"/>
      <c r="AA2" s="45"/>
    </row>
    <row r="3" spans="1:27" x14ac:dyDescent="0.25">
      <c r="A3" s="45"/>
      <c r="B3" s="45"/>
      <c r="C3" s="45"/>
      <c r="D3" s="45"/>
      <c r="E3" s="45"/>
      <c r="F3" s="45"/>
      <c r="G3" s="45"/>
      <c r="H3" s="45"/>
      <c r="I3" s="45"/>
      <c r="J3" s="45"/>
      <c r="K3" s="45"/>
      <c r="L3" s="45"/>
      <c r="M3" s="45"/>
      <c r="N3" s="45"/>
      <c r="O3" s="45"/>
      <c r="P3" s="45"/>
      <c r="Q3" s="45"/>
      <c r="R3" s="45"/>
      <c r="S3" s="45"/>
      <c r="T3" s="45"/>
      <c r="U3" s="45"/>
      <c r="V3" s="45"/>
      <c r="W3" s="45"/>
      <c r="X3" s="45"/>
      <c r="Y3" s="45"/>
      <c r="Z3" s="45"/>
      <c r="AA3" s="45"/>
    </row>
    <row r="4" spans="1:27" x14ac:dyDescent="0.25">
      <c r="A4" s="45"/>
      <c r="B4" s="45"/>
      <c r="C4" s="45"/>
      <c r="D4" s="45"/>
      <c r="E4" s="45"/>
      <c r="F4" s="45"/>
      <c r="G4" s="45"/>
      <c r="H4" s="45"/>
      <c r="I4" s="45"/>
      <c r="J4" s="45"/>
      <c r="K4" s="45"/>
      <c r="L4" s="45"/>
      <c r="M4" s="45"/>
      <c r="N4" s="45"/>
      <c r="O4" s="45"/>
      <c r="P4" s="45"/>
      <c r="Q4" s="45"/>
      <c r="R4" s="45"/>
      <c r="S4" s="45"/>
      <c r="T4" s="45"/>
      <c r="U4" s="45"/>
      <c r="V4" s="45"/>
      <c r="W4" s="45"/>
      <c r="X4" s="45"/>
      <c r="Y4" s="45"/>
      <c r="Z4" s="45"/>
      <c r="AA4" s="45"/>
    </row>
    <row r="6" spans="1:27" x14ac:dyDescent="0.25">
      <c r="B6" s="46" t="s">
        <v>52</v>
      </c>
      <c r="C6" s="46"/>
      <c r="D6" s="46"/>
      <c r="E6" s="46"/>
      <c r="F6" s="46"/>
      <c r="G6" s="46"/>
      <c r="I6" s="42" t="s">
        <v>58</v>
      </c>
      <c r="J6" s="42"/>
      <c r="K6" s="42"/>
      <c r="L6" s="42"/>
      <c r="M6" s="42"/>
    </row>
    <row r="7" spans="1:27" x14ac:dyDescent="0.25">
      <c r="B7" s="46"/>
      <c r="C7" s="46"/>
      <c r="D7" s="46"/>
      <c r="E7" s="46"/>
      <c r="F7" s="46"/>
      <c r="G7" s="46"/>
      <c r="I7" s="42"/>
      <c r="J7" s="42"/>
      <c r="K7" s="42"/>
      <c r="L7" s="42"/>
      <c r="M7" s="42"/>
    </row>
    <row r="9" spans="1:27" x14ac:dyDescent="0.25">
      <c r="C9" s="11" t="s">
        <v>19</v>
      </c>
      <c r="D9" s="12" t="s">
        <v>21</v>
      </c>
      <c r="I9" s="11" t="s">
        <v>19</v>
      </c>
      <c r="J9" s="12" t="s">
        <v>25</v>
      </c>
    </row>
    <row r="10" spans="1:27" x14ac:dyDescent="0.25">
      <c r="C10" s="13" t="s">
        <v>53</v>
      </c>
      <c r="D10" s="12">
        <v>857.5</v>
      </c>
      <c r="I10" s="13" t="s">
        <v>59</v>
      </c>
      <c r="J10" s="12">
        <v>530</v>
      </c>
    </row>
    <row r="11" spans="1:27" x14ac:dyDescent="0.25">
      <c r="C11" s="13" t="s">
        <v>54</v>
      </c>
      <c r="D11" s="12">
        <v>825</v>
      </c>
      <c r="I11" s="13" t="s">
        <v>60</v>
      </c>
      <c r="J11" s="12">
        <v>1260</v>
      </c>
    </row>
    <row r="12" spans="1:27" x14ac:dyDescent="0.25">
      <c r="C12" s="13" t="s">
        <v>55</v>
      </c>
      <c r="D12" s="12">
        <v>777.5</v>
      </c>
      <c r="I12" s="13" t="s">
        <v>20</v>
      </c>
      <c r="J12" s="12">
        <v>1790</v>
      </c>
    </row>
    <row r="13" spans="1:27" x14ac:dyDescent="0.25">
      <c r="C13" s="13" t="s">
        <v>56</v>
      </c>
      <c r="D13" s="12">
        <v>670</v>
      </c>
    </row>
    <row r="14" spans="1:27" x14ac:dyDescent="0.25">
      <c r="C14" s="13" t="s">
        <v>57</v>
      </c>
      <c r="D14" s="12">
        <v>660</v>
      </c>
    </row>
    <row r="15" spans="1:27" x14ac:dyDescent="0.25">
      <c r="C15" s="13" t="s">
        <v>44</v>
      </c>
      <c r="D15" s="12"/>
    </row>
    <row r="16" spans="1:27" x14ac:dyDescent="0.25">
      <c r="C16" s="13" t="s">
        <v>20</v>
      </c>
      <c r="D16" s="12">
        <v>3790</v>
      </c>
    </row>
    <row r="17" spans="2:16" x14ac:dyDescent="0.25">
      <c r="B17" s="43" t="s">
        <v>64</v>
      </c>
      <c r="C17" s="43"/>
      <c r="D17" s="43"/>
      <c r="E17" s="43"/>
      <c r="F17" s="43"/>
      <c r="I17" s="42" t="s">
        <v>62</v>
      </c>
      <c r="J17" s="42"/>
      <c r="K17" s="42"/>
      <c r="L17" s="42"/>
      <c r="M17" s="42"/>
    </row>
    <row r="18" spans="2:16" x14ac:dyDescent="0.25">
      <c r="B18" s="43"/>
      <c r="C18" s="43"/>
      <c r="D18" s="43"/>
      <c r="E18" s="43"/>
      <c r="F18" s="43"/>
      <c r="I18" s="42"/>
      <c r="J18" s="42"/>
      <c r="K18" s="42"/>
      <c r="L18" s="42"/>
      <c r="M18" s="42"/>
    </row>
    <row r="20" spans="2:16" x14ac:dyDescent="0.25">
      <c r="I20" s="11" t="s">
        <v>19</v>
      </c>
      <c r="J20" s="12" t="s">
        <v>21</v>
      </c>
    </row>
    <row r="21" spans="2:16" x14ac:dyDescent="0.25">
      <c r="I21" s="13" t="s">
        <v>7</v>
      </c>
      <c r="J21" s="12">
        <v>825</v>
      </c>
      <c r="L21" s="43" t="s">
        <v>65</v>
      </c>
      <c r="M21" s="43"/>
      <c r="N21" s="43"/>
      <c r="O21" s="43"/>
      <c r="P21" s="43"/>
    </row>
    <row r="22" spans="2:16" x14ac:dyDescent="0.25">
      <c r="I22" s="14" t="s">
        <v>61</v>
      </c>
      <c r="J22" s="12">
        <v>825</v>
      </c>
      <c r="L22" s="43"/>
      <c r="M22" s="43"/>
      <c r="N22" s="43"/>
      <c r="O22" s="43"/>
      <c r="P22" s="43"/>
    </row>
    <row r="23" spans="2:16" x14ac:dyDescent="0.25">
      <c r="I23" s="13" t="s">
        <v>8</v>
      </c>
      <c r="J23" s="12">
        <v>670</v>
      </c>
    </row>
    <row r="24" spans="2:16" x14ac:dyDescent="0.25">
      <c r="I24" s="14" t="s">
        <v>61</v>
      </c>
      <c r="J24" s="12">
        <v>670</v>
      </c>
    </row>
    <row r="25" spans="2:16" x14ac:dyDescent="0.25">
      <c r="I25" s="13" t="s">
        <v>9</v>
      </c>
      <c r="J25" s="12">
        <v>777.5</v>
      </c>
    </row>
    <row r="26" spans="2:16" x14ac:dyDescent="0.25">
      <c r="I26" s="14" t="s">
        <v>61</v>
      </c>
      <c r="J26" s="12">
        <v>777.5</v>
      </c>
    </row>
    <row r="27" spans="2:16" x14ac:dyDescent="0.25">
      <c r="I27" s="13" t="s">
        <v>10</v>
      </c>
      <c r="J27" s="12">
        <v>660</v>
      </c>
    </row>
    <row r="28" spans="2:16" x14ac:dyDescent="0.25">
      <c r="I28" s="14" t="s">
        <v>61</v>
      </c>
      <c r="J28" s="12">
        <v>660</v>
      </c>
    </row>
    <row r="29" spans="2:16" x14ac:dyDescent="0.25">
      <c r="I29" s="13" t="s">
        <v>11</v>
      </c>
      <c r="J29" s="12">
        <v>857.5</v>
      </c>
    </row>
    <row r="30" spans="2:16" x14ac:dyDescent="0.25">
      <c r="I30" s="14" t="s">
        <v>61</v>
      </c>
      <c r="J30" s="12">
        <v>857.5</v>
      </c>
    </row>
    <row r="31" spans="2:16" x14ac:dyDescent="0.25">
      <c r="I31" s="13" t="s">
        <v>20</v>
      </c>
      <c r="J31" s="12">
        <v>3790</v>
      </c>
    </row>
    <row r="32" spans="2:16" x14ac:dyDescent="0.25">
      <c r="B32" s="42" t="s">
        <v>63</v>
      </c>
      <c r="C32" s="42"/>
      <c r="D32" s="42"/>
      <c r="E32" s="42"/>
      <c r="F32" s="42"/>
    </row>
    <row r="33" spans="2:10" x14ac:dyDescent="0.25">
      <c r="B33" s="42"/>
      <c r="C33" s="42"/>
      <c r="D33" s="42"/>
      <c r="E33" s="42"/>
      <c r="F33" s="42"/>
      <c r="I33" s="11" t="s">
        <v>19</v>
      </c>
      <c r="J33" s="12" t="s">
        <v>21</v>
      </c>
    </row>
    <row r="34" spans="2:10" x14ac:dyDescent="0.25">
      <c r="I34" s="13" t="s">
        <v>18</v>
      </c>
      <c r="J34" s="12">
        <v>690</v>
      </c>
    </row>
    <row r="35" spans="2:10" x14ac:dyDescent="0.25">
      <c r="C35" s="11" t="s">
        <v>19</v>
      </c>
      <c r="D35" s="12" t="s">
        <v>21</v>
      </c>
      <c r="I35" s="14" t="s">
        <v>8</v>
      </c>
      <c r="J35" s="12">
        <v>330</v>
      </c>
    </row>
    <row r="36" spans="2:10" x14ac:dyDescent="0.25">
      <c r="C36" s="13" t="s">
        <v>61</v>
      </c>
      <c r="D36" s="12">
        <v>3790</v>
      </c>
      <c r="I36" s="14" t="s">
        <v>10</v>
      </c>
      <c r="J36" s="12">
        <v>360</v>
      </c>
    </row>
    <row r="37" spans="2:10" x14ac:dyDescent="0.25">
      <c r="C37" s="13" t="s">
        <v>20</v>
      </c>
      <c r="D37" s="12">
        <v>3790</v>
      </c>
      <c r="I37" s="13" t="s">
        <v>17</v>
      </c>
      <c r="J37" s="12">
        <v>640</v>
      </c>
    </row>
    <row r="38" spans="2:10" x14ac:dyDescent="0.25">
      <c r="I38" s="14" t="s">
        <v>8</v>
      </c>
      <c r="J38" s="12">
        <v>340</v>
      </c>
    </row>
    <row r="39" spans="2:10" x14ac:dyDescent="0.25">
      <c r="I39" s="14" t="s">
        <v>10</v>
      </c>
      <c r="J39" s="12">
        <v>300</v>
      </c>
    </row>
    <row r="40" spans="2:10" x14ac:dyDescent="0.25">
      <c r="I40" s="13" t="s">
        <v>15</v>
      </c>
      <c r="J40" s="12">
        <v>1155</v>
      </c>
    </row>
    <row r="41" spans="2:10" x14ac:dyDescent="0.25">
      <c r="I41" s="14" t="s">
        <v>7</v>
      </c>
      <c r="J41" s="12">
        <v>420</v>
      </c>
    </row>
    <row r="42" spans="2:10" x14ac:dyDescent="0.25">
      <c r="I42" s="14" t="s">
        <v>9</v>
      </c>
      <c r="J42" s="12">
        <v>350</v>
      </c>
    </row>
    <row r="43" spans="2:10" x14ac:dyDescent="0.25">
      <c r="I43" s="14" t="s">
        <v>11</v>
      </c>
      <c r="J43" s="12">
        <v>385</v>
      </c>
    </row>
    <row r="44" spans="2:10" x14ac:dyDescent="0.25">
      <c r="I44" s="13" t="s">
        <v>16</v>
      </c>
      <c r="J44" s="12">
        <v>1305</v>
      </c>
    </row>
    <row r="45" spans="2:10" x14ac:dyDescent="0.25">
      <c r="I45" s="14" t="s">
        <v>7</v>
      </c>
      <c r="J45" s="12">
        <v>405</v>
      </c>
    </row>
    <row r="46" spans="2:10" x14ac:dyDescent="0.25">
      <c r="I46" s="14" t="s">
        <v>9</v>
      </c>
      <c r="J46" s="12">
        <v>427.5</v>
      </c>
    </row>
    <row r="47" spans="2:10" x14ac:dyDescent="0.25">
      <c r="I47" s="14" t="s">
        <v>11</v>
      </c>
      <c r="J47" s="12">
        <v>472.5</v>
      </c>
    </row>
    <row r="48" spans="2:10" x14ac:dyDescent="0.25">
      <c r="I48" s="13" t="s">
        <v>44</v>
      </c>
      <c r="J48" s="12"/>
    </row>
    <row r="49" spans="9:10" x14ac:dyDescent="0.25">
      <c r="I49" s="14" t="s">
        <v>44</v>
      </c>
      <c r="J49" s="12"/>
    </row>
    <row r="50" spans="9:10" x14ac:dyDescent="0.25">
      <c r="I50" s="13" t="s">
        <v>20</v>
      </c>
      <c r="J50" s="12">
        <v>3790</v>
      </c>
    </row>
  </sheetData>
  <mergeCells count="7">
    <mergeCell ref="B32:F33"/>
    <mergeCell ref="L21:P22"/>
    <mergeCell ref="A1:AA4"/>
    <mergeCell ref="B6:G7"/>
    <mergeCell ref="I6:M7"/>
    <mergeCell ref="B17:F18"/>
    <mergeCell ref="I17:M18"/>
  </mergeCells>
  <conditionalFormatting sqref="I33:J50">
    <cfRule type="colorScale" priority="1">
      <colorScale>
        <cfvo type="min"/>
        <cfvo type="percentile" val="50"/>
        <cfvo type="max"/>
        <color rgb="FFF8696B"/>
        <color rgb="FFFFEB84"/>
        <color rgb="FF63BE7B"/>
      </colorScale>
    </cfRule>
  </conditionalFormatting>
  <conditionalFormatting sqref="M20:N20 M23:N37">
    <cfRule type="colorScale" priority="2">
      <colorScale>
        <cfvo type="min"/>
        <cfvo type="percentile" val="50"/>
        <cfvo type="max"/>
        <color rgb="FFF8696B"/>
        <color rgb="FFFFEB84"/>
        <color rgb="FF63BE7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3BCF2-0E71-4AC1-88D6-A0CEAD09E181}">
  <dimension ref="A1:Y40"/>
  <sheetViews>
    <sheetView showGridLines="0" zoomScale="45" workbookViewId="0">
      <selection activeCell="O61" sqref="O61"/>
    </sheetView>
  </sheetViews>
  <sheetFormatPr defaultRowHeight="14.4" x14ac:dyDescent="0.3"/>
  <cols>
    <col min="2" max="2" width="12.5546875" bestFit="1" customWidth="1"/>
    <col min="3" max="3" width="16" bestFit="1" customWidth="1"/>
    <col min="4" max="4" width="25.21875" bestFit="1" customWidth="1"/>
    <col min="5" max="5" width="14.21875" bestFit="1" customWidth="1"/>
    <col min="6" max="6" width="12" bestFit="1" customWidth="1"/>
    <col min="8" max="8" width="19.88671875" bestFit="1" customWidth="1"/>
    <col min="9" max="9" width="26.77734375" bestFit="1" customWidth="1"/>
    <col min="12" max="12" width="10.77734375" bestFit="1" customWidth="1"/>
    <col min="13" max="13" width="29.5546875" bestFit="1" customWidth="1"/>
    <col min="14" max="14" width="12.109375" bestFit="1" customWidth="1"/>
  </cols>
  <sheetData>
    <row r="1" spans="1:25" x14ac:dyDescent="0.3">
      <c r="A1" s="47" t="s">
        <v>66</v>
      </c>
      <c r="B1" s="48"/>
      <c r="C1" s="48"/>
      <c r="D1" s="48"/>
      <c r="E1" s="48"/>
      <c r="F1" s="48"/>
      <c r="G1" s="48"/>
      <c r="H1" s="48"/>
      <c r="I1" s="48"/>
      <c r="J1" s="48"/>
      <c r="K1" s="48"/>
      <c r="L1" s="48"/>
      <c r="M1" s="48"/>
      <c r="N1" s="48"/>
      <c r="O1" s="48"/>
      <c r="P1" s="48"/>
      <c r="Q1" s="48"/>
      <c r="R1" s="48"/>
      <c r="S1" s="48"/>
      <c r="T1" s="48"/>
      <c r="U1" s="48"/>
      <c r="V1" s="48"/>
      <c r="W1" s="48"/>
      <c r="X1" s="48"/>
      <c r="Y1" s="48"/>
    </row>
    <row r="2" spans="1:25" x14ac:dyDescent="0.3">
      <c r="A2" s="48"/>
      <c r="B2" s="48"/>
      <c r="C2" s="48"/>
      <c r="D2" s="48"/>
      <c r="E2" s="48"/>
      <c r="F2" s="48"/>
      <c r="G2" s="48"/>
      <c r="H2" s="48"/>
      <c r="I2" s="48"/>
      <c r="J2" s="48"/>
      <c r="K2" s="48"/>
      <c r="L2" s="48"/>
      <c r="M2" s="48"/>
      <c r="N2" s="48"/>
      <c r="O2" s="48"/>
      <c r="P2" s="48"/>
      <c r="Q2" s="48"/>
      <c r="R2" s="48"/>
      <c r="S2" s="48"/>
      <c r="T2" s="48"/>
      <c r="U2" s="48"/>
      <c r="V2" s="48"/>
      <c r="W2" s="48"/>
      <c r="X2" s="48"/>
      <c r="Y2" s="48"/>
    </row>
    <row r="3" spans="1:25" x14ac:dyDescent="0.3">
      <c r="A3" s="48"/>
      <c r="B3" s="48"/>
      <c r="C3" s="48"/>
      <c r="D3" s="48"/>
      <c r="E3" s="48"/>
      <c r="F3" s="48"/>
      <c r="G3" s="48"/>
      <c r="H3" s="48"/>
      <c r="I3" s="48"/>
      <c r="J3" s="48"/>
      <c r="K3" s="48"/>
      <c r="L3" s="48"/>
      <c r="M3" s="48"/>
      <c r="N3" s="48"/>
      <c r="O3" s="48"/>
      <c r="P3" s="48"/>
      <c r="Q3" s="48"/>
      <c r="R3" s="48"/>
      <c r="S3" s="48"/>
      <c r="T3" s="48"/>
      <c r="U3" s="48"/>
      <c r="V3" s="48"/>
      <c r="W3" s="48"/>
      <c r="X3" s="48"/>
      <c r="Y3" s="48"/>
    </row>
    <row r="4" spans="1:25" x14ac:dyDescent="0.3">
      <c r="A4" s="48"/>
      <c r="B4" s="48"/>
      <c r="C4" s="48"/>
      <c r="D4" s="48"/>
      <c r="E4" s="48"/>
      <c r="F4" s="48"/>
      <c r="G4" s="48"/>
      <c r="H4" s="48"/>
      <c r="I4" s="48"/>
      <c r="J4" s="48"/>
      <c r="K4" s="48"/>
      <c r="L4" s="48"/>
      <c r="M4" s="48"/>
      <c r="N4" s="48"/>
      <c r="O4" s="48"/>
      <c r="P4" s="48"/>
      <c r="Q4" s="48"/>
      <c r="R4" s="48"/>
      <c r="S4" s="48"/>
      <c r="T4" s="48"/>
      <c r="U4" s="48"/>
      <c r="V4" s="48"/>
      <c r="W4" s="48"/>
      <c r="X4" s="48"/>
      <c r="Y4" s="48"/>
    </row>
    <row r="6" spans="1:25" ht="14.4" customHeight="1" x14ac:dyDescent="0.3">
      <c r="A6" s="49" t="s">
        <v>67</v>
      </c>
      <c r="B6" s="49"/>
      <c r="C6" s="49"/>
      <c r="D6" s="49"/>
      <c r="E6" s="49"/>
      <c r="H6" s="49" t="s">
        <v>69</v>
      </c>
      <c r="I6" s="49"/>
      <c r="J6" s="49"/>
      <c r="K6" s="49"/>
      <c r="L6" s="49"/>
      <c r="M6" s="49"/>
      <c r="N6" s="49"/>
    </row>
    <row r="7" spans="1:25" ht="14.4" customHeight="1" x14ac:dyDescent="0.3">
      <c r="A7" s="49"/>
      <c r="B7" s="49"/>
      <c r="C7" s="49"/>
      <c r="D7" s="49"/>
      <c r="E7" s="49"/>
      <c r="H7" s="49"/>
      <c r="I7" s="49"/>
      <c r="J7" s="49"/>
      <c r="K7" s="49"/>
      <c r="L7" s="49"/>
      <c r="M7" s="49"/>
      <c r="N7" s="49"/>
    </row>
    <row r="8" spans="1:25" ht="15.6" x14ac:dyDescent="0.3">
      <c r="B8" s="26" t="s">
        <v>19</v>
      </c>
      <c r="C8" s="23" t="s">
        <v>26</v>
      </c>
      <c r="D8" s="20" t="s">
        <v>68</v>
      </c>
    </row>
    <row r="9" spans="1:25" x14ac:dyDescent="0.3">
      <c r="B9" s="27">
        <v>1</v>
      </c>
      <c r="C9" s="25">
        <v>120</v>
      </c>
      <c r="D9" s="21">
        <f>AVERAGE(C9:C18,B9:B18)</f>
        <v>53.25</v>
      </c>
      <c r="H9" s="23" t="s">
        <v>19</v>
      </c>
      <c r="I9" s="23" t="s">
        <v>21</v>
      </c>
    </row>
    <row r="10" spans="1:25" x14ac:dyDescent="0.3">
      <c r="B10" s="27">
        <v>2</v>
      </c>
      <c r="C10" s="25">
        <v>90</v>
      </c>
      <c r="D10" s="21">
        <f t="shared" ref="D10:D19" si="0">AVERAGE(C10:C19,B10:B19)</f>
        <v>102.84210526315789</v>
      </c>
      <c r="H10" s="27" t="s">
        <v>70</v>
      </c>
      <c r="I10" s="25">
        <v>472.5</v>
      </c>
    </row>
    <row r="11" spans="1:25" x14ac:dyDescent="0.3">
      <c r="B11" s="27">
        <v>3</v>
      </c>
      <c r="C11" s="25">
        <v>85</v>
      </c>
      <c r="D11" s="21">
        <f t="shared" si="0"/>
        <v>109.52941176470588</v>
      </c>
      <c r="H11" s="27" t="s">
        <v>71</v>
      </c>
      <c r="I11" s="25">
        <v>405</v>
      </c>
    </row>
    <row r="12" spans="1:25" x14ac:dyDescent="0.3">
      <c r="B12" s="27">
        <v>4</v>
      </c>
      <c r="C12" s="25">
        <v>110</v>
      </c>
      <c r="D12" s="21">
        <f t="shared" si="0"/>
        <v>118.26666666666667</v>
      </c>
      <c r="H12" s="27" t="s">
        <v>72</v>
      </c>
      <c r="I12" s="25">
        <v>360</v>
      </c>
    </row>
    <row r="13" spans="1:25" x14ac:dyDescent="0.3">
      <c r="B13" s="27">
        <v>5</v>
      </c>
      <c r="C13" s="25">
        <v>100</v>
      </c>
      <c r="D13" s="21">
        <f t="shared" si="0"/>
        <v>127.69230769230769</v>
      </c>
      <c r="H13" s="27" t="s">
        <v>73</v>
      </c>
      <c r="I13" s="25">
        <v>350</v>
      </c>
    </row>
    <row r="14" spans="1:25" x14ac:dyDescent="0.3">
      <c r="B14" s="27">
        <v>6</v>
      </c>
      <c r="C14" s="25">
        <v>95</v>
      </c>
      <c r="D14" s="21">
        <f t="shared" si="0"/>
        <v>141.36363636363637</v>
      </c>
      <c r="H14" s="27" t="s">
        <v>74</v>
      </c>
      <c r="I14" s="25">
        <v>420</v>
      </c>
    </row>
    <row r="15" spans="1:25" x14ac:dyDescent="0.3">
      <c r="B15" s="27">
        <v>7</v>
      </c>
      <c r="C15" s="25">
        <v>75</v>
      </c>
      <c r="D15" s="21">
        <f t="shared" si="0"/>
        <v>161.55555555555554</v>
      </c>
      <c r="H15" s="27" t="s">
        <v>75</v>
      </c>
      <c r="I15" s="25">
        <v>340</v>
      </c>
    </row>
    <row r="16" spans="1:25" x14ac:dyDescent="0.3">
      <c r="B16" s="27">
        <v>8</v>
      </c>
      <c r="C16" s="25">
        <v>120</v>
      </c>
      <c r="D16" s="21">
        <f t="shared" si="0"/>
        <v>196</v>
      </c>
      <c r="H16" s="27" t="s">
        <v>76</v>
      </c>
      <c r="I16" s="25">
        <v>330</v>
      </c>
    </row>
    <row r="17" spans="2:16" x14ac:dyDescent="0.3">
      <c r="B17" s="27">
        <v>9</v>
      </c>
      <c r="C17" s="25">
        <v>110</v>
      </c>
      <c r="D17" s="21">
        <f t="shared" si="0"/>
        <v>209</v>
      </c>
      <c r="H17" s="27" t="s">
        <v>77</v>
      </c>
      <c r="I17" s="25">
        <v>385</v>
      </c>
    </row>
    <row r="18" spans="2:16" x14ac:dyDescent="0.3">
      <c r="B18" s="27">
        <v>10</v>
      </c>
      <c r="C18" s="25">
        <v>105</v>
      </c>
      <c r="D18" s="21">
        <f t="shared" si="0"/>
        <v>227.4</v>
      </c>
      <c r="H18" s="27" t="s">
        <v>78</v>
      </c>
      <c r="I18" s="25">
        <v>300</v>
      </c>
    </row>
    <row r="19" spans="2:16" x14ac:dyDescent="0.3">
      <c r="B19" s="27" t="s">
        <v>20</v>
      </c>
      <c r="C19" s="25">
        <v>1010</v>
      </c>
      <c r="D19" s="21">
        <f t="shared" si="0"/>
        <v>257.5</v>
      </c>
      <c r="H19" s="27" t="s">
        <v>79</v>
      </c>
      <c r="I19" s="25">
        <v>427.5</v>
      </c>
    </row>
    <row r="20" spans="2:16" x14ac:dyDescent="0.3">
      <c r="H20" s="27" t="s">
        <v>20</v>
      </c>
      <c r="I20" s="25">
        <v>3790</v>
      </c>
    </row>
    <row r="22" spans="2:16" x14ac:dyDescent="0.3">
      <c r="B22" s="49" t="s">
        <v>80</v>
      </c>
      <c r="C22" s="49"/>
      <c r="D22" s="49"/>
    </row>
    <row r="23" spans="2:16" x14ac:dyDescent="0.3">
      <c r="B23" s="49"/>
      <c r="C23" s="49"/>
      <c r="D23" s="49"/>
    </row>
    <row r="24" spans="2:16" x14ac:dyDescent="0.3">
      <c r="D24" s="50" t="s">
        <v>81</v>
      </c>
      <c r="E24" s="50"/>
      <c r="F24" s="50"/>
      <c r="G24" s="50"/>
      <c r="H24" s="50"/>
      <c r="I24" s="50"/>
      <c r="L24" s="49" t="s">
        <v>82</v>
      </c>
      <c r="M24" s="49"/>
      <c r="N24" s="49"/>
      <c r="O24" s="49"/>
      <c r="P24" s="49"/>
    </row>
    <row r="25" spans="2:16" x14ac:dyDescent="0.3">
      <c r="B25" s="22" t="s">
        <v>19</v>
      </c>
      <c r="C25" s="19" t="s">
        <v>83</v>
      </c>
      <c r="D25" s="23" t="s">
        <v>84</v>
      </c>
      <c r="E25" s="23" t="s">
        <v>85</v>
      </c>
      <c r="F25" s="24"/>
      <c r="G25" s="3"/>
      <c r="H25" s="3"/>
      <c r="L25" s="49"/>
      <c r="M25" s="49"/>
      <c r="N25" s="49"/>
      <c r="O25" s="49"/>
      <c r="P25" s="49"/>
    </row>
    <row r="26" spans="2:16" x14ac:dyDescent="0.3">
      <c r="B26" s="27" t="s">
        <v>70</v>
      </c>
      <c r="C26" s="25">
        <v>10</v>
      </c>
      <c r="D26" s="25">
        <f>COUNTA(B26:B34)</f>
        <v>9</v>
      </c>
      <c r="E26" s="25">
        <f>COUNTA(_xlfn.UNIQUE(B26:B34))</f>
        <v>9</v>
      </c>
      <c r="F26" s="25" cm="1">
        <f t="array" ref="F26:F35">D26:D35/E26:E35</f>
        <v>1</v>
      </c>
      <c r="L26" s="49"/>
      <c r="M26" s="49"/>
      <c r="N26" s="49"/>
      <c r="O26" s="49"/>
      <c r="P26" s="49"/>
    </row>
    <row r="27" spans="2:16" x14ac:dyDescent="0.3">
      <c r="B27" s="27" t="s">
        <v>71</v>
      </c>
      <c r="C27" s="25">
        <v>2</v>
      </c>
      <c r="D27" s="25">
        <f t="shared" ref="D27:D35" si="1">COUNTA(B27:B35)</f>
        <v>9</v>
      </c>
      <c r="E27" s="25">
        <f t="shared" ref="E27:E35" si="2">COUNTA(_xlfn.UNIQUE(B27:B35))</f>
        <v>9</v>
      </c>
      <c r="F27" s="25">
        <v>1</v>
      </c>
    </row>
    <row r="28" spans="2:16" x14ac:dyDescent="0.3">
      <c r="B28" s="27" t="s">
        <v>72</v>
      </c>
      <c r="C28" s="25">
        <v>8</v>
      </c>
      <c r="D28" s="25">
        <f t="shared" si="1"/>
        <v>8</v>
      </c>
      <c r="E28" s="25">
        <f t="shared" si="2"/>
        <v>9</v>
      </c>
      <c r="F28" s="25">
        <v>0.88888888888888884</v>
      </c>
      <c r="L28" s="28" t="s">
        <v>19</v>
      </c>
      <c r="M28" s="28" t="s">
        <v>86</v>
      </c>
      <c r="N28" s="25" t="s">
        <v>25</v>
      </c>
    </row>
    <row r="29" spans="2:16" x14ac:dyDescent="0.3">
      <c r="B29" s="27" t="s">
        <v>73</v>
      </c>
      <c r="C29" s="25">
        <v>5</v>
      </c>
      <c r="D29" s="25">
        <f t="shared" si="1"/>
        <v>7</v>
      </c>
      <c r="E29" s="25">
        <f t="shared" si="2"/>
        <v>8</v>
      </c>
      <c r="F29" s="25">
        <v>0.875</v>
      </c>
      <c r="L29" s="27" t="s">
        <v>87</v>
      </c>
      <c r="M29" s="29">
        <v>0.22222222222222221</v>
      </c>
      <c r="N29" s="29">
        <v>80</v>
      </c>
    </row>
    <row r="30" spans="2:16" x14ac:dyDescent="0.3">
      <c r="B30" s="27" t="s">
        <v>75</v>
      </c>
      <c r="C30" s="25">
        <v>3</v>
      </c>
      <c r="D30" s="25">
        <f t="shared" si="1"/>
        <v>6</v>
      </c>
      <c r="E30" s="25">
        <f t="shared" si="2"/>
        <v>7</v>
      </c>
      <c r="F30" s="25">
        <v>0.8571428571428571</v>
      </c>
      <c r="L30" s="27" t="s">
        <v>88</v>
      </c>
      <c r="M30" s="29">
        <v>0.23809523809523808</v>
      </c>
      <c r="N30" s="29">
        <v>100</v>
      </c>
    </row>
    <row r="31" spans="2:16" x14ac:dyDescent="0.3">
      <c r="B31" s="27" t="s">
        <v>76</v>
      </c>
      <c r="C31" s="25">
        <v>4</v>
      </c>
      <c r="D31" s="25">
        <f t="shared" si="1"/>
        <v>5</v>
      </c>
      <c r="E31" s="25">
        <f t="shared" si="2"/>
        <v>6</v>
      </c>
      <c r="F31" s="25">
        <v>0.83333333333333337</v>
      </c>
      <c r="L31" s="27" t="s">
        <v>89</v>
      </c>
      <c r="M31" s="29">
        <v>0.23333333333333334</v>
      </c>
      <c r="N31" s="29">
        <v>70</v>
      </c>
    </row>
    <row r="32" spans="2:16" x14ac:dyDescent="0.3">
      <c r="B32" s="27" t="s">
        <v>77</v>
      </c>
      <c r="C32" s="25">
        <v>9</v>
      </c>
      <c r="D32" s="25">
        <f t="shared" si="1"/>
        <v>4</v>
      </c>
      <c r="E32" s="25">
        <f t="shared" si="2"/>
        <v>5</v>
      </c>
      <c r="F32" s="25">
        <v>0.8</v>
      </c>
      <c r="L32" s="27" t="s">
        <v>90</v>
      </c>
      <c r="M32" s="29">
        <v>0.25396825396825395</v>
      </c>
      <c r="N32" s="29">
        <v>120</v>
      </c>
    </row>
    <row r="33" spans="2:14" x14ac:dyDescent="0.3">
      <c r="B33" s="27" t="s">
        <v>78</v>
      </c>
      <c r="C33" s="25">
        <v>7</v>
      </c>
      <c r="D33" s="25">
        <f t="shared" si="1"/>
        <v>3</v>
      </c>
      <c r="E33" s="25">
        <f t="shared" si="2"/>
        <v>4</v>
      </c>
      <c r="F33" s="25">
        <v>0.75</v>
      </c>
      <c r="L33" s="27" t="s">
        <v>91</v>
      </c>
      <c r="M33" s="29">
        <v>0.22222222222222221</v>
      </c>
      <c r="N33" s="29">
        <v>90</v>
      </c>
    </row>
    <row r="34" spans="2:14" x14ac:dyDescent="0.3">
      <c r="B34" s="27" t="s">
        <v>79</v>
      </c>
      <c r="C34" s="25">
        <v>6</v>
      </c>
      <c r="D34" s="25">
        <f t="shared" si="1"/>
        <v>2</v>
      </c>
      <c r="E34" s="25">
        <f t="shared" si="2"/>
        <v>3</v>
      </c>
      <c r="F34" s="25">
        <v>0.66666666666666663</v>
      </c>
      <c r="L34" s="27" t="s">
        <v>92</v>
      </c>
      <c r="M34" s="29">
        <v>0.21212121212121213</v>
      </c>
      <c r="N34" s="29">
        <v>70</v>
      </c>
    </row>
    <row r="35" spans="2:14" x14ac:dyDescent="0.3">
      <c r="B35" s="27" t="s">
        <v>20</v>
      </c>
      <c r="C35" s="25">
        <v>54</v>
      </c>
      <c r="D35" s="25">
        <f t="shared" si="1"/>
        <v>1</v>
      </c>
      <c r="E35" s="25">
        <f t="shared" si="2"/>
        <v>2</v>
      </c>
      <c r="F35" s="25">
        <v>0.5</v>
      </c>
      <c r="L35" s="27" t="s">
        <v>93</v>
      </c>
      <c r="M35" s="29">
        <v>0.24675324675324675</v>
      </c>
      <c r="N35" s="29">
        <v>95</v>
      </c>
    </row>
    <row r="36" spans="2:14" x14ac:dyDescent="0.3">
      <c r="L36" s="27" t="s">
        <v>94</v>
      </c>
      <c r="M36" s="29">
        <v>0.25714285714285712</v>
      </c>
      <c r="N36" s="29">
        <v>90</v>
      </c>
    </row>
    <row r="37" spans="2:14" x14ac:dyDescent="0.3">
      <c r="L37" s="27" t="s">
        <v>95</v>
      </c>
      <c r="M37" s="29">
        <v>0.23529411764705882</v>
      </c>
      <c r="N37" s="29">
        <v>80</v>
      </c>
    </row>
    <row r="38" spans="2:14" x14ac:dyDescent="0.3">
      <c r="L38" s="27" t="s">
        <v>96</v>
      </c>
      <c r="M38" s="29">
        <v>0.23391812865497075</v>
      </c>
      <c r="N38" s="29">
        <v>100</v>
      </c>
    </row>
    <row r="39" spans="2:14" x14ac:dyDescent="0.3">
      <c r="L39" s="27" t="s">
        <v>44</v>
      </c>
      <c r="M39" s="25"/>
      <c r="N39" s="25"/>
    </row>
    <row r="40" spans="2:14" x14ac:dyDescent="0.3">
      <c r="L40" s="27" t="s">
        <v>20</v>
      </c>
      <c r="M40" s="25">
        <v>0.23550708321606151</v>
      </c>
      <c r="N40" s="25">
        <v>895</v>
      </c>
    </row>
  </sheetData>
  <mergeCells count="6">
    <mergeCell ref="A1:Y4"/>
    <mergeCell ref="A6:E7"/>
    <mergeCell ref="H6:N7"/>
    <mergeCell ref="B22:D23"/>
    <mergeCell ref="D24:I24"/>
    <mergeCell ref="L24:P26"/>
  </mergeCells>
  <conditionalFormatting pivot="1" sqref="M29:N38">
    <cfRule type="cellIs" dxfId="30" priority="4" operator="greaterThan">
      <formula>60.1061</formula>
    </cfRule>
  </conditionalFormatting>
  <conditionalFormatting pivot="1" sqref="M29:N38">
    <cfRule type="cellIs" dxfId="29" priority="3" operator="lessThan">
      <formula>60.1061</formula>
    </cfRule>
  </conditionalFormatting>
  <conditionalFormatting pivot="1" sqref="M29:N38">
    <cfRule type="cellIs" dxfId="28" priority="2" operator="between">
      <formula>30</formula>
      <formula>90</formula>
    </cfRule>
  </conditionalFormatting>
  <conditionalFormatting pivot="1" sqref="M29:N38">
    <cfRule type="dataBar" priority="1">
      <dataBar>
        <cfvo type="min"/>
        <cfvo type="max"/>
        <color rgb="FF63C384"/>
      </dataBar>
      <extLst>
        <ext xmlns:x14="http://schemas.microsoft.com/office/spreadsheetml/2009/9/main" uri="{B025F937-C7B1-47D3-B67F-A62EFF666E3E}">
          <x14:id>{B52DEE2D-F7C6-4D2C-8F02-CEC80AB43D82}</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B52DEE2D-F7C6-4D2C-8F02-CEC80AB43D82}">
            <x14:dataBar minLength="0" maxLength="100" border="1" negativeBarBorderColorSameAsPositive="0">
              <x14:cfvo type="autoMin"/>
              <x14:cfvo type="autoMax"/>
              <x14:borderColor rgb="FF63C384"/>
              <x14:negativeFillColor rgb="FFFF0000"/>
              <x14:negativeBorderColor rgb="FFFF0000"/>
              <x14:axisColor rgb="FF000000"/>
            </x14:dataBar>
          </x14:cfRule>
          <xm:sqref>M29:N38</xm:sqref>
        </x14:conditionalFormatting>
      </x14:conditionalFormattings>
    </ex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18793-744F-4257-BC47-E3938B314E3F}">
  <dimension ref="B31:W100"/>
  <sheetViews>
    <sheetView showGridLines="0" tabSelected="1" topLeftCell="A213" zoomScale="41" zoomScaleNormal="47" workbookViewId="0">
      <selection activeCell="AO27" sqref="AO27"/>
    </sheetView>
  </sheetViews>
  <sheetFormatPr defaultRowHeight="14.4" x14ac:dyDescent="0.3"/>
  <sheetData>
    <row r="31" spans="2:22" x14ac:dyDescent="0.3">
      <c r="B31" s="41" t="s">
        <v>32</v>
      </c>
      <c r="C31" s="41"/>
      <c r="D31" s="41"/>
      <c r="E31" s="41"/>
      <c r="F31" s="41"/>
      <c r="R31" s="41" t="s">
        <v>33</v>
      </c>
      <c r="S31" s="41"/>
      <c r="T31" s="41"/>
      <c r="U31" s="41"/>
      <c r="V31" s="41"/>
    </row>
    <row r="53" spans="2:21" x14ac:dyDescent="0.3">
      <c r="B53" s="41" t="s">
        <v>33</v>
      </c>
      <c r="C53" s="41"/>
      <c r="D53" s="41"/>
      <c r="E53" s="41"/>
      <c r="F53" s="41"/>
      <c r="Q53" s="41" t="s">
        <v>33</v>
      </c>
      <c r="R53" s="41"/>
      <c r="S53" s="41"/>
      <c r="T53" s="41"/>
      <c r="U53" s="41"/>
    </row>
    <row r="75" spans="2:23" x14ac:dyDescent="0.3">
      <c r="S75" s="41" t="s">
        <v>65</v>
      </c>
      <c r="T75" s="41"/>
      <c r="U75" s="41"/>
      <c r="V75" s="41"/>
      <c r="W75" s="41"/>
    </row>
    <row r="76" spans="2:23" x14ac:dyDescent="0.3">
      <c r="B76" s="41" t="s">
        <v>64</v>
      </c>
      <c r="C76" s="41"/>
      <c r="D76" s="41"/>
      <c r="E76" s="41"/>
      <c r="F76" s="41"/>
    </row>
    <row r="99" spans="2:8" x14ac:dyDescent="0.3">
      <c r="B99" s="49" t="s">
        <v>97</v>
      </c>
      <c r="C99" s="49"/>
      <c r="D99" s="49"/>
      <c r="E99" s="49"/>
      <c r="F99" s="49"/>
      <c r="G99" s="49"/>
      <c r="H99" s="49"/>
    </row>
    <row r="100" spans="2:8" x14ac:dyDescent="0.3">
      <c r="B100" s="49"/>
      <c r="C100" s="49"/>
      <c r="D100" s="49"/>
      <c r="E100" s="49"/>
      <c r="F100" s="49"/>
      <c r="G100" s="49"/>
      <c r="H100" s="49"/>
    </row>
  </sheetData>
  <mergeCells count="7">
    <mergeCell ref="B76:F76"/>
    <mergeCell ref="S75:W75"/>
    <mergeCell ref="B99:H100"/>
    <mergeCell ref="B31:F31"/>
    <mergeCell ref="R31:V31"/>
    <mergeCell ref="B53:F53"/>
    <mergeCell ref="Q53:U5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1. Total Sales (Revenue Overvie</vt:lpstr>
      <vt:lpstr>2. Location-Based Analysis</vt:lpstr>
      <vt:lpstr>3. Product Performance</vt:lpstr>
      <vt:lpstr>4. Time-Based Trends</vt:lpstr>
      <vt:lpstr>5. Customer Insights (Optional,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Lingeshwaran R</cp:lastModifiedBy>
  <dcterms:created xsi:type="dcterms:W3CDTF">2025-01-11T13:35:15Z</dcterms:created>
  <dcterms:modified xsi:type="dcterms:W3CDTF">2025-09-20T12:36:32Z</dcterms:modified>
</cp:coreProperties>
</file>